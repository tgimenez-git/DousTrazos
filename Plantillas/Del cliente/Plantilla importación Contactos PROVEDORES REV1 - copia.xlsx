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cos" sheetId="1" state="visible" r:id="rId2"/>
    <sheet name="Instrucciones" sheetId="2" state="visible" r:id="rId3"/>
    <sheet name="Sheet1" sheetId="3" state="visible" r:id="rId4"/>
  </sheets>
  <definedNames>
    <definedName function="false" hidden="true" localSheetId="1" name="_xlnm._FilterDatabase" vbProcedure="false">Instrucciones!$A$1:$AA$936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<sst xmlns="http://schemas.openxmlformats.org/spreadsheetml/2006/main" count="14973" uniqueCount="8484">
  <si>
    <t xml:space="preserve">Id Externo formula</t>
  </si>
  <si>
    <t xml:space="preserve">ID Externo</t>
  </si>
  <si>
    <t xml:space="preserve">id</t>
  </si>
  <si>
    <t xml:space="preserve">name</t>
  </si>
  <si>
    <t xml:space="preserve">parent_id</t>
  </si>
  <si>
    <t xml:space="preserve">is_company</t>
  </si>
  <si>
    <t xml:space="preserve">industry_id</t>
  </si>
  <si>
    <t xml:space="preserve">type</t>
  </si>
  <si>
    <t xml:space="preserve">vacia</t>
  </si>
  <si>
    <t xml:space="preserve">function</t>
  </si>
  <si>
    <t xml:space="preserve">vat</t>
  </si>
  <si>
    <t xml:space="preserve">zip</t>
  </si>
  <si>
    <t xml:space="preserve">street</t>
  </si>
  <si>
    <t xml:space="preserve">street2</t>
  </si>
  <si>
    <t xml:space="preserve">city</t>
  </si>
  <si>
    <t xml:space="preserve">country_id</t>
  </si>
  <si>
    <t xml:space="preserve">email</t>
  </si>
  <si>
    <t xml:space="preserve">phone</t>
  </si>
  <si>
    <t xml:space="preserve">website_id</t>
  </si>
  <si>
    <t xml:space="preserve">condiciones de pago</t>
  </si>
  <si>
    <t xml:space="preserve">Bancos / Banco</t>
  </si>
  <si>
    <t xml:space="preserve">Bancos / Código SWIFT</t>
  </si>
  <si>
    <t xml:space="preserve">Bancos / Número de cuenta</t>
  </si>
  <si>
    <t xml:space="preserve">CODIGO PROVEEDOR</t>
  </si>
  <si>
    <t xml:space="preserve">NOMBRE COMERCIAL</t>
  </si>
  <si>
    <t xml:space="preserve">CUENTA CONTABLE</t>
  </si>
  <si>
    <t xml:space="preserve">OBSERVACIONES</t>
  </si>
  <si>
    <t xml:space="preserve">__import__.res_partner_20000000002</t>
  </si>
  <si>
    <t xml:space="preserve">20000000002</t>
  </si>
  <si>
    <t xml:space="preserve">ESSELTE, S.A.</t>
  </si>
  <si>
    <t xml:space="preserve">VERDADERO</t>
  </si>
  <si>
    <t xml:space="preserve">proveedor</t>
  </si>
  <si>
    <t xml:space="preserve">Invoice</t>
  </si>
  <si>
    <t xml:space="preserve">ESA08154106</t>
  </si>
  <si>
    <t xml:space="preserve">08006</t>
  </si>
  <si>
    <t xml:space="preserve">VIA AUGUSTA, 20-26</t>
  </si>
  <si>
    <t xml:space="preserve">BARCELONA</t>
  </si>
  <si>
    <t xml:space="preserve">ES</t>
  </si>
  <si>
    <t xml:space="preserve">gonsushop@gmail.com</t>
  </si>
  <si>
    <t xml:space="preserve">932 384 400</t>
  </si>
  <si>
    <t xml:space="preserve">60 DIAS</t>
  </si>
  <si>
    <t xml:space="preserve">4000000002</t>
  </si>
  <si>
    <t xml:space="preserve">PRAMOS@ESSELTE.COM
PORTES PAGADOS MAS DE 100€
Servidor de medios:
www.esselte-download.com
usuario: trazos
contraseña:#Dous2011
</t>
  </si>
  <si>
    <t xml:space="preserve">__import__.res_partner_20000000003</t>
  </si>
  <si>
    <t xml:space="preserve">20000000003</t>
  </si>
  <si>
    <t xml:space="preserve">ABRI</t>
  </si>
  <si>
    <t xml:space="preserve">ESA28078020</t>
  </si>
  <si>
    <t xml:space="preserve">28027</t>
  </si>
  <si>
    <t xml:space="preserve">JUAN IGNACIO LUCA DE TENA 19-25</t>
  </si>
  <si>
    <t xml:space="preserve">MADRID</t>
  </si>
  <si>
    <t xml:space="preserve">maguerrero1@mmm.com</t>
  </si>
  <si>
    <t xml:space="preserve">91 722 4059</t>
  </si>
  <si>
    <t xml:space="preserve">3M ESPAÑA, S.A.</t>
  </si>
  <si>
    <t xml:space="preserve">4000000003</t>
  </si>
  <si>
    <t xml:space="preserve">ENVIAN ALBARAN VALORADO POR CORREO ELECTRONICO  A: maria@doustrazos.com
ENVIAR TODOS LOS PEDIDOS POR FAX.</t>
  </si>
  <si>
    <t xml:space="preserve">__import__.res_partner_20000000004</t>
  </si>
  <si>
    <t xml:space="preserve">20000000004</t>
  </si>
  <si>
    <t xml:space="preserve">CARLOS WENDEL, S.L.</t>
  </si>
  <si>
    <t xml:space="preserve">ESB28044204</t>
  </si>
  <si>
    <t xml:space="preserve">28806</t>
  </si>
  <si>
    <t xml:space="preserve">Rotonda René Descartes, 2   Edificio 1 Nave A (Pol. Ind. La Garena)</t>
  </si>
  <si>
    <t xml:space="preserve">Alcalá de Henares</t>
  </si>
  <si>
    <t xml:space="preserve">carlos.corredera@carloswendel.es</t>
  </si>
  <si>
    <t xml:space="preserve">91.802.63.18</t>
  </si>
  <si>
    <t xml:space="preserve">90 DIAS</t>
  </si>
  <si>
    <t xml:space="preserve">4000000004</t>
  </si>
  <si>
    <t xml:space="preserve">PEDIDOS@CARLOSWENDEL.COM
WEB RECURSOS:
https://faber-castell.media
Partner
usuario: informatica@doustrazos.com
Contraseña: #Dous2011%
https://partner.faber-castell.media/login 
</t>
  </si>
  <si>
    <t xml:space="preserve">__import__.res_partner_20000000006</t>
  </si>
  <si>
    <t xml:space="preserve">20000000006</t>
  </si>
  <si>
    <t xml:space="preserve">NIMINPIDI,S.L.</t>
  </si>
  <si>
    <t xml:space="preserve">ESB64894249</t>
  </si>
  <si>
    <t xml:space="preserve">08503</t>
  </si>
  <si>
    <t xml:space="preserve">POL.IND.MAS GALÍ NARCIS MONTURIOL 12</t>
  </si>
  <si>
    <t xml:space="preserve">GURB </t>
  </si>
  <si>
    <t xml:space="preserve">info@comercialnim.com</t>
  </si>
  <si>
    <t xml:space="preserve">938 869 060 </t>
  </si>
  <si>
    <t xml:space="preserve">CONTADO</t>
  </si>
  <si>
    <t xml:space="preserve">COMERCIAL NIM </t>
  </si>
  <si>
    <t xml:space="preserve">4000000006</t>
  </si>
  <si>
    <t xml:space="preserve">__import__.res_partner_20000000007</t>
  </si>
  <si>
    <t xml:space="preserve">20000000007</t>
  </si>
  <si>
    <t xml:space="preserve">ARCHIVADORES ELBA, S.A.</t>
  </si>
  <si>
    <t xml:space="preserve">ESA08836348</t>
  </si>
  <si>
    <t xml:space="preserve">08970</t>
  </si>
  <si>
    <t xml:space="preserve">AVDA. M. D. MONTSERRAT, 53   P.I. FONTSA</t>
  </si>
  <si>
    <t xml:space="preserve">SANT JOAN DESPI</t>
  </si>
  <si>
    <t xml:space="preserve">93 373 84 52</t>
  </si>
  <si>
    <t xml:space="preserve">4000000007</t>
  </si>
  <si>
    <t xml:space="preserve">__import__.res_partner_20000000010</t>
  </si>
  <si>
    <t xml:space="preserve">20000000010</t>
  </si>
  <si>
    <t xml:space="preserve">RUIFERPA, S.L.</t>
  </si>
  <si>
    <t xml:space="preserve">ESB33783101</t>
  </si>
  <si>
    <t xml:space="preserve">33211</t>
  </si>
  <si>
    <t xml:space="preserve">POL. BANKUNION II, AVDA. AGRICULTURA, 17</t>
  </si>
  <si>
    <t xml:space="preserve">TREMAÑES (GIJÓN)</t>
  </si>
  <si>
    <t xml:space="preserve">merche@ruiferpa.com</t>
  </si>
  <si>
    <t xml:space="preserve">985 315 169</t>
  </si>
  <si>
    <t xml:space="preserve">30 DIAS</t>
  </si>
  <si>
    <t xml:space="preserve">4000000010</t>
  </si>
  <si>
    <t xml:space="preserve">80X80 – 0.49
57X55 - 0.195
57X35 - 0.085
</t>
  </si>
  <si>
    <t xml:space="preserve">__import__.res_partner_20000000012</t>
  </si>
  <si>
    <t xml:space="preserve">20000000012</t>
  </si>
  <si>
    <t xml:space="preserve">M.G.R. GRUPO INFORMATICO, S.L.</t>
  </si>
  <si>
    <t xml:space="preserve">ESB14414627</t>
  </si>
  <si>
    <t xml:space="preserve">14009</t>
  </si>
  <si>
    <t xml:space="preserve">AVDA. DE LA TORRECILLA S/N POL. AMARGACENA</t>
  </si>
  <si>
    <t xml:space="preserve">CORDOBA</t>
  </si>
  <si>
    <t xml:space="preserve">957 42 04 46</t>
  </si>
  <si>
    <t xml:space="preserve">RESUME MENSUAL</t>
  </si>
  <si>
    <t xml:space="preserve">4000000012</t>
  </si>
  <si>
    <t xml:space="preserve">__import__.res_partner_20000000013</t>
  </si>
  <si>
    <t xml:space="preserve">20000000013</t>
  </si>
  <si>
    <t xml:space="preserve">OFIMPORT, S.L.</t>
  </si>
  <si>
    <t xml:space="preserve">ESB81087108</t>
  </si>
  <si>
    <t xml:space="preserve">28940</t>
  </si>
  <si>
    <t xml:space="preserve">C/ GAVILAN, 24  POL.IND. LOS GALLEGOS</t>
  </si>
  <si>
    <t xml:space="preserve">FUENLABRADA</t>
  </si>
  <si>
    <t xml:space="preserve">91 642 04 64</t>
  </si>
  <si>
    <t xml:space="preserve">4000000013</t>
  </si>
  <si>
    <t xml:space="preserve">__import__.res_partner_20000000015</t>
  </si>
  <si>
    <t xml:space="preserve">20000000015</t>
  </si>
  <si>
    <t xml:space="preserve">SINEL SYSTEM, S.A.</t>
  </si>
  <si>
    <t xml:space="preserve">ESA60914090</t>
  </si>
  <si>
    <t xml:space="preserve">08210</t>
  </si>
  <si>
    <t xml:space="preserve">AV. CASTELL DE BARBERÁ, 37-41</t>
  </si>
  <si>
    <t xml:space="preserve">BARBERÁ DEL VALLÉS</t>
  </si>
  <si>
    <t xml:space="preserve">93 745 21 00</t>
  </si>
  <si>
    <t xml:space="preserve">4000000015</t>
  </si>
  <si>
    <r>
      <rPr>
        <sz val="11"/>
        <color rgb="FF000000"/>
        <rFont val="Calibri"/>
        <family val="2"/>
        <charset val="1"/>
      </rPr>
      <t xml:space="preserve">CÓD CLIENTE: 99454
</t>
    </r>
    <r>
      <rPr>
        <sz val="10"/>
        <color rgb="FF000000"/>
        <rFont val="Arial"/>
        <family val="2"/>
        <charset val="1"/>
      </rPr>
      <t xml:space="preserve">A partir de 300€ preguntar si no nos cobran los portes</t>
    </r>
  </si>
  <si>
    <t xml:space="preserve">__import__.res_partner_20000000016</t>
  </si>
  <si>
    <t xml:space="preserve">20000000016</t>
  </si>
  <si>
    <t xml:space="preserve">UNI MITSUBISHI PENCIL ESPAÑA, S.A.</t>
  </si>
  <si>
    <t xml:space="preserve">ESA61498903</t>
  </si>
  <si>
    <t xml:space="preserve">08191</t>
  </si>
  <si>
    <t xml:space="preserve">AVDA. CAN ROSES, S/N . NAVE 3</t>
  </si>
  <si>
    <t xml:space="preserve">RUBI</t>
  </si>
  <si>
    <t xml:space="preserve">ireneg@unimitsubishi.com</t>
  </si>
  <si>
    <t xml:space="preserve">93 699 06 11</t>
  </si>
  <si>
    <t xml:space="preserve">4000000016</t>
  </si>
  <si>
    <t xml:space="preserve">__import__.res_partner_20000000021</t>
  </si>
  <si>
    <t xml:space="preserve">20000000021</t>
  </si>
  <si>
    <t xml:space="preserve">ARTEBENE PAPEL Y DISEÑO S.L.</t>
  </si>
  <si>
    <t xml:space="preserve">ESB65815508</t>
  </si>
  <si>
    <t xml:space="preserve">CALLE BALMES, 201 PL. 2º P.2</t>
  </si>
  <si>
    <t xml:space="preserve">info@artebene.com</t>
  </si>
  <si>
    <t xml:space="preserve">935 542 156</t>
  </si>
  <si>
    <t xml:space="preserve">ARTEBENE</t>
  </si>
  <si>
    <t xml:space="preserve">4000000021</t>
  </si>
  <si>
    <t xml:space="preserve">angel san juan vazquez &lt;angeljs3@hotmail.com&gt;</t>
  </si>
  <si>
    <t xml:space="preserve">__import__.res_partner_20000000022</t>
  </si>
  <si>
    <t xml:space="preserve">20000000022</t>
  </si>
  <si>
    <t xml:space="preserve">MANIPULADOS VIPESA, S.A.</t>
  </si>
  <si>
    <t xml:space="preserve">ESA46352118</t>
  </si>
  <si>
    <t xml:space="preserve">46200</t>
  </si>
  <si>
    <t xml:space="preserve">POLIGONO LA PASCUALETA, S/N</t>
  </si>
  <si>
    <t xml:space="preserve">PAIPORTA</t>
  </si>
  <si>
    <t xml:space="preserve">96 397 44 55</t>
  </si>
  <si>
    <t xml:space="preserve">60, 90 DIAS</t>
  </si>
  <si>
    <t xml:space="preserve">4000000022</t>
  </si>
  <si>
    <t xml:space="preserve">__import__.res_partner_20000000023</t>
  </si>
  <si>
    <t xml:space="preserve">20000000023</t>
  </si>
  <si>
    <t xml:space="preserve">STYB, S.A.</t>
  </si>
  <si>
    <t xml:space="preserve">ESA02014405</t>
  </si>
  <si>
    <t xml:space="preserve">02007</t>
  </si>
  <si>
    <t xml:space="preserve">Pol. Ind. Campollano, C/A , 2</t>
  </si>
  <si>
    <t xml:space="preserve">ALBACETE</t>
  </si>
  <si>
    <t xml:space="preserve">j.filgueiraconde@yahoo.es</t>
  </si>
  <si>
    <t xml:space="preserve">967 219 612</t>
  </si>
  <si>
    <t xml:space="preserve">4000000023</t>
  </si>
  <si>
    <t xml:space="preserve">__import__.res_partner_20000000025</t>
  </si>
  <si>
    <t xml:space="preserve">20000000025</t>
  </si>
  <si>
    <t xml:space="preserve">CASE LOGIC ESPAÑA, S.L.</t>
  </si>
  <si>
    <t xml:space="preserve">ESB83038802</t>
  </si>
  <si>
    <t xml:space="preserve">  28042</t>
  </si>
  <si>
    <t xml:space="preserve">Centro de negocios Esisenhower      Caña</t>
  </si>
  <si>
    <t xml:space="preserve">91 735 21 20</t>
  </si>
  <si>
    <t xml:space="preserve">4000000025</t>
  </si>
  <si>
    <t xml:space="preserve">__import__.res_partner_20000000027</t>
  </si>
  <si>
    <t xml:space="preserve">20000000027</t>
  </si>
  <si>
    <t xml:space="preserve">COMERCIAL DECORATIVA, S.A.</t>
  </si>
  <si>
    <t xml:space="preserve">ESA29005105</t>
  </si>
  <si>
    <t xml:space="preserve">C/ DOÑA JUANA I DE CASTILLA, 24 BAJO</t>
  </si>
  <si>
    <t xml:space="preserve">91 743 00 23</t>
  </si>
  <si>
    <t xml:space="preserve">4000000027</t>
  </si>
  <si>
    <t xml:space="preserve">__import__.res_partner_20000000029</t>
  </si>
  <si>
    <t xml:space="preserve">20000000029</t>
  </si>
  <si>
    <t xml:space="preserve">OLAVE SOLOZABAL Y CIA., S.A.</t>
  </si>
  <si>
    <t xml:space="preserve">ESA20003026</t>
  </si>
  <si>
    <t xml:space="preserve">20690</t>
  </si>
  <si>
    <t xml:space="preserve">Pol. Ind. Pagatza - P4</t>
  </si>
  <si>
    <t xml:space="preserve">ELGETA</t>
  </si>
  <si>
    <t xml:space="preserve">el-casco@el-casco.es</t>
  </si>
  <si>
    <t xml:space="preserve">943.788.278</t>
  </si>
  <si>
    <t xml:space="preserve">4000000029</t>
  </si>
  <si>
    <t xml:space="preserve">__import__.res_partner_20000000030</t>
  </si>
  <si>
    <t xml:space="preserve">20000000030</t>
  </si>
  <si>
    <t xml:space="preserve">S.C.I., S.L.</t>
  </si>
  <si>
    <t xml:space="preserve">ESB80147994</t>
  </si>
  <si>
    <t xml:space="preserve">28031</t>
  </si>
  <si>
    <t xml:space="preserve">C/ GAMONAL 21, ED. AUGE V, 3º A2-bis, P.I.Vallecas</t>
  </si>
  <si>
    <t xml:space="preserve">comercial@stey.es</t>
  </si>
  <si>
    <t xml:space="preserve">913031036 / 917</t>
  </si>
  <si>
    <t xml:space="preserve">CONTADO + 5 RECIBOS</t>
  </si>
  <si>
    <t xml:space="preserve">STEY</t>
  </si>
  <si>
    <t xml:space="preserve">4000000030</t>
  </si>
  <si>
    <t xml:space="preserve">__import__.res_partner_20000000031</t>
  </si>
  <si>
    <t xml:space="preserve">20000000031</t>
  </si>
  <si>
    <t xml:space="preserve">JURPE MOBILIARIO (BISLEY), S.L.</t>
  </si>
  <si>
    <t xml:space="preserve">ESB79989019</t>
  </si>
  <si>
    <t xml:space="preserve">48498</t>
  </si>
  <si>
    <t xml:space="preserve">POL. IND. BAKIOLA, PABELLON, 6</t>
  </si>
  <si>
    <t xml:space="preserve">ARRANKUDIAGA</t>
  </si>
  <si>
    <t xml:space="preserve">comercial@jurpe.es</t>
  </si>
  <si>
    <t xml:space="preserve">94 633 32 00/91</t>
  </si>
  <si>
    <t xml:space="preserve">4000000031</t>
  </si>
  <si>
    <t xml:space="preserve">__import__.res_partner_20000000032</t>
  </si>
  <si>
    <t xml:space="preserve">20000000032</t>
  </si>
  <si>
    <t xml:space="preserve">INDUSTRIAS KORES, S.A.</t>
  </si>
  <si>
    <t xml:space="preserve">ESA08014086</t>
  </si>
  <si>
    <t xml:space="preserve">08100</t>
  </si>
  <si>
    <t xml:space="preserve">Avinguda Rabassaires, 28, 1º</t>
  </si>
  <si>
    <t xml:space="preserve">Mollet del Vallés</t>
  </si>
  <si>
    <t xml:space="preserve">jjlopez@kores.es</t>
  </si>
  <si>
    <t xml:space="preserve">93 544 02 00</t>
  </si>
  <si>
    <t xml:space="preserve">4000000032</t>
  </si>
  <si>
    <t xml:space="preserve">__import__.res_partner_20000000033</t>
  </si>
  <si>
    <t xml:space="preserve">20000000033</t>
  </si>
  <si>
    <t xml:space="preserve">EUROP STAR GROUP, S.L.</t>
  </si>
  <si>
    <t xml:space="preserve">ESB48773402</t>
  </si>
  <si>
    <t xml:space="preserve">28110</t>
  </si>
  <si>
    <t xml:space="preserve">C/ CUATRO PICOS 20, NAVE 1, POL. IND. EL NOGAL</t>
  </si>
  <si>
    <t xml:space="preserve">ALGETE</t>
  </si>
  <si>
    <t xml:space="preserve">josegundin@gmail.com</t>
  </si>
  <si>
    <t xml:space="preserve">91 629 30 03</t>
  </si>
  <si>
    <t xml:space="preserve">4000000033</t>
  </si>
  <si>
    <t xml:space="preserve">__import__.res_partner_20000000036</t>
  </si>
  <si>
    <t xml:space="preserve">20000000036</t>
  </si>
  <si>
    <t xml:space="preserve">ERICH KRAUSE, S.L.</t>
  </si>
  <si>
    <t xml:space="preserve">ESB83398669</t>
  </si>
  <si>
    <t xml:space="preserve">33186</t>
  </si>
  <si>
    <t xml:space="preserve">CRTA. DE LANGREO, 12</t>
  </si>
  <si>
    <t xml:space="preserve">EL BERRON</t>
  </si>
  <si>
    <t xml:space="preserve">985 74 26 26</t>
  </si>
  <si>
    <t xml:space="preserve">4000000036</t>
  </si>
  <si>
    <t xml:space="preserve">__import__.res_partner_20000000039</t>
  </si>
  <si>
    <t xml:space="preserve">20000000039</t>
  </si>
  <si>
    <t xml:space="preserve">BIC IBERIA, S.A.U</t>
  </si>
  <si>
    <t xml:space="preserve">ESA08086878</t>
  </si>
  <si>
    <t xml:space="preserve">43006</t>
  </si>
  <si>
    <t xml:space="preserve">POL. IND. ENTRE VIAS</t>
  </si>
  <si>
    <t xml:space="preserve">TARRAGONA</t>
  </si>
  <si>
    <t xml:space="preserve">vanesa.tome@bicworld.com</t>
  </si>
  <si>
    <t xml:space="preserve">977556200</t>
  </si>
  <si>
    <t xml:space="preserve">4000000039</t>
  </si>
  <si>
    <t xml:space="preserve">tel  977556188  amparo
PEDIDO MÍNIMO 200€ + IVA
01/07/2025 - DTO P.P 3% (0013)
</t>
  </si>
  <si>
    <t xml:space="preserve">__import__.res_partner_20000000044</t>
  </si>
  <si>
    <t xml:space="preserve">20000000044</t>
  </si>
  <si>
    <t xml:space="preserve">FRAGA IMPORT, S.L.</t>
  </si>
  <si>
    <t xml:space="preserve">ESB81313215</t>
  </si>
  <si>
    <t xml:space="preserve">28923</t>
  </si>
  <si>
    <t xml:space="preserve">Aeronáutica, 21-23  Pol. Urtinsa II</t>
  </si>
  <si>
    <t xml:space="preserve">ALCORCON</t>
  </si>
  <si>
    <t xml:space="preserve">acampuzano@fragaimport.com</t>
  </si>
  <si>
    <t xml:space="preserve">91.318.05.30</t>
  </si>
  <si>
    <t xml:space="preserve">4000000044</t>
  </si>
  <si>
    <t xml:space="preserve">__import__.res_partner_20000000045</t>
  </si>
  <si>
    <t xml:space="preserve">20000000045</t>
  </si>
  <si>
    <t xml:space="preserve">COMERCIAL ARGE, S.A.</t>
  </si>
  <si>
    <t xml:space="preserve">ESA28623379</t>
  </si>
  <si>
    <t xml:space="preserve">28007</t>
  </si>
  <si>
    <t xml:space="preserve">CAVANILLES, 11-13</t>
  </si>
  <si>
    <t xml:space="preserve">gabrielrepres@hotmail.com</t>
  </si>
  <si>
    <t xml:space="preserve">915016705</t>
  </si>
  <si>
    <t xml:space="preserve">15 DÍAS</t>
  </si>
  <si>
    <t xml:space="preserve">4000000045</t>
  </si>
  <si>
    <r>
      <rPr>
        <sz val="11"/>
        <color rgb="FF000000"/>
        <rFont val="Calibri"/>
        <family val="2"/>
        <charset val="1"/>
      </rPr>
      <t xml:space="preserve">DESCUENTO 55%
</t>
    </r>
    <r>
      <rPr>
        <sz val="10"/>
        <color rgb="FF000000"/>
        <rFont val="Arial"/>
        <family val="2"/>
        <charset val="1"/>
      </rPr>
      <t xml:space="preserve">PEDIDO MÍNIMO PORTES PAGADOS PARA AR+ 600€</t>
    </r>
  </si>
  <si>
    <t xml:space="preserve">__import__.res_partner_20000000046</t>
  </si>
  <si>
    <t xml:space="preserve">20000000046</t>
  </si>
  <si>
    <t xml:space="preserve">PEACH, S.A.</t>
  </si>
  <si>
    <t xml:space="preserve">ESA83220236</t>
  </si>
  <si>
    <t xml:space="preserve">28820</t>
  </si>
  <si>
    <t xml:space="preserve">C/ DE LAS AMERICAS, 4 (EDIFICIO ATC)</t>
  </si>
  <si>
    <t xml:space="preserve">COSLADA</t>
  </si>
  <si>
    <t xml:space="preserve">91 671 77 13</t>
  </si>
  <si>
    <t xml:space="preserve">4000000046</t>
  </si>
  <si>
    <t xml:space="preserve">__import__.res_partner_20000000049</t>
  </si>
  <si>
    <t xml:space="preserve">20000000049</t>
  </si>
  <si>
    <t xml:space="preserve">XEROX OFFICE SUPPLIES</t>
  </si>
  <si>
    <t xml:space="preserve">ESA81056285</t>
  </si>
  <si>
    <t xml:space="preserve">28042</t>
  </si>
  <si>
    <t xml:space="preserve">C/ RIBERA DEL LOIRA, 16-18</t>
  </si>
  <si>
    <t xml:space="preserve">91520 31 05</t>
  </si>
  <si>
    <t xml:space="preserve">4000000049</t>
  </si>
  <si>
    <t xml:space="preserve">__import__.res_partner_20000000051</t>
  </si>
  <si>
    <t xml:space="preserve">20000000051</t>
  </si>
  <si>
    <t xml:space="preserve">NOVA LINE PLUS IBERICA, S.A.</t>
  </si>
  <si>
    <t xml:space="preserve">ESA81895021</t>
  </si>
  <si>
    <t xml:space="preserve">C/ Francisco Rabal, 5 Nave 3     Pol. Ind. La Garena</t>
  </si>
  <si>
    <t xml:space="preserve">javila@unipapel.com</t>
  </si>
  <si>
    <t xml:space="preserve">91.802.68.14</t>
  </si>
  <si>
    <t xml:space="preserve">4000000051</t>
  </si>
  <si>
    <t xml:space="preserve">__import__.res_partner_20000000055</t>
  </si>
  <si>
    <t xml:space="preserve">20000000055</t>
  </si>
  <si>
    <t xml:space="preserve">FACTIS, S.A. (MILAN)</t>
  </si>
  <si>
    <t xml:space="preserve">ESA17032798</t>
  </si>
  <si>
    <t xml:space="preserve">17253</t>
  </si>
  <si>
    <t xml:space="preserve">P. Roques Blanques, s/n</t>
  </si>
  <si>
    <t xml:space="preserve">MONT-RAS</t>
  </si>
  <si>
    <t xml:space="preserve">comercial75@milan.es</t>
  </si>
  <si>
    <t xml:space="preserve">972 30 32 00</t>
  </si>
  <si>
    <t xml:space="preserve">4000000055</t>
  </si>
  <si>
    <t xml:space="preserve">DESCUENTO POR PRONTO PAGO AÑADIR LINEA 0013 Y UNIDADES EN NEGATIVO
Para descargar imágenes y videos:
https://cloud.milan.es/s/Xx6KrgPLgMswKwY
</t>
  </si>
  <si>
    <t xml:space="preserve">__import__.res_partner_20000000056</t>
  </si>
  <si>
    <t xml:space="preserve">20000000056</t>
  </si>
  <si>
    <t xml:space="preserve">COMERCIAL PEÑALARA (CLEN)</t>
  </si>
  <si>
    <t xml:space="preserve">ESA08278103</t>
  </si>
  <si>
    <t xml:space="preserve">08018</t>
  </si>
  <si>
    <t xml:space="preserve">C/ TANGER , 25 INT. LOCAL 38</t>
  </si>
  <si>
    <t xml:space="preserve">933006908</t>
  </si>
  <si>
    <t xml:space="preserve">4000000056</t>
  </si>
  <si>
    <t xml:space="preserve">__import__.res_partner_20000000057</t>
  </si>
  <si>
    <t xml:space="preserve">20000000057</t>
  </si>
  <si>
    <t xml:space="preserve">MULTI-TEC, S.A.</t>
  </si>
  <si>
    <t xml:space="preserve">ESA28527950</t>
  </si>
  <si>
    <t xml:space="preserve">C/ Copérnico, 58 Pol. Ind.</t>
  </si>
  <si>
    <t xml:space="preserve">Coslada</t>
  </si>
  <si>
    <t xml:space="preserve">juanferreira30@hotmail.com</t>
  </si>
  <si>
    <t xml:space="preserve">91 669 01 70</t>
  </si>
  <si>
    <t xml:space="preserve">4000000057</t>
  </si>
  <si>
    <t xml:space="preserve">clientes@mtmultitec.com
DESCUENTO PARA 2015 54%
NEGOCIAR RAPELL
WEB: -  www.mtmultitec.com
Usuario: carlin@doustrazos.com
Contraseña: 788X86
</t>
  </si>
  <si>
    <t xml:space="preserve">__import__.res_partner_20000000058</t>
  </si>
  <si>
    <t xml:space="preserve">20000000058</t>
  </si>
  <si>
    <t xml:space="preserve">CABERO GROUP 1916 S.A.</t>
  </si>
  <si>
    <t xml:space="preserve">ESA58210675</t>
  </si>
  <si>
    <t xml:space="preserve">08292</t>
  </si>
  <si>
    <t xml:space="preserve">C/Enclusa, 1</t>
  </si>
  <si>
    <t xml:space="preserve">Pol. Ind. Can Comelles</t>
  </si>
  <si>
    <t xml:space="preserve">ESPARREGUERA</t>
  </si>
  <si>
    <t xml:space="preserve">juanpilent@gmail.com</t>
  </si>
  <si>
    <t xml:space="preserve">93 247 86 20</t>
  </si>
  <si>
    <t xml:space="preserve">4000000058</t>
  </si>
  <si>
    <t xml:space="preserve">__import__.res_partner_20000000059</t>
  </si>
  <si>
    <t xml:space="preserve">20000000059</t>
  </si>
  <si>
    <t xml:space="preserve">AMBAR ESPAÑA, S.A.</t>
  </si>
  <si>
    <t xml:space="preserve">ESA78615929</t>
  </si>
  <si>
    <t xml:space="preserve">28703</t>
  </si>
  <si>
    <t xml:space="preserve">PUENTE CULTURAL, 10</t>
  </si>
  <si>
    <t xml:space="preserve">SAN SEBASTIAN DE LOS REYES</t>
  </si>
  <si>
    <t xml:space="preserve">jagq0007@gmail.com</t>
  </si>
  <si>
    <t xml:space="preserve">91 661 41 25</t>
  </si>
  <si>
    <t xml:space="preserve">4000000059</t>
  </si>
  <si>
    <t xml:space="preserve">__import__.res_partner_20000000061</t>
  </si>
  <si>
    <t xml:space="preserve">20000000061</t>
  </si>
  <si>
    <t xml:space="preserve">SPICERS</t>
  </si>
  <si>
    <t xml:space="preserve">ESN0066201E</t>
  </si>
  <si>
    <t xml:space="preserve">08027</t>
  </si>
  <si>
    <t xml:space="preserve">POL. IND. DOMENYS II, C/ AGRICULTURA, 27</t>
  </si>
  <si>
    <t xml:space="preserve">VILLAFRANCA DEL PENEDÉS</t>
  </si>
  <si>
    <t xml:space="preserve">902 525 535</t>
  </si>
  <si>
    <t xml:space="preserve">4000000061</t>
  </si>
  <si>
    <t xml:space="preserve">__import__.res_partner_20000000063</t>
  </si>
  <si>
    <t xml:space="preserve">20000000063</t>
  </si>
  <si>
    <t xml:space="preserve">MAFA LLIBRES, S.L.</t>
  </si>
  <si>
    <t xml:space="preserve">ESB58453713</t>
  </si>
  <si>
    <t xml:space="preserve">08205</t>
  </si>
  <si>
    <t xml:space="preserve">Polígono Industrial Del Sud-Est    C/ Ro</t>
  </si>
  <si>
    <t xml:space="preserve">Sabadell</t>
  </si>
  <si>
    <t xml:space="preserve">93 746 41 10</t>
  </si>
  <si>
    <t xml:space="preserve">4000000063</t>
  </si>
  <si>
    <t xml:space="preserve">__import__.res_partner_20000000065</t>
  </si>
  <si>
    <t xml:space="preserve">20000000065</t>
  </si>
  <si>
    <t xml:space="preserve">ACTIU BERBEGAL Y FORMAS, S.A.</t>
  </si>
  <si>
    <t xml:space="preserve">ESA03137874</t>
  </si>
  <si>
    <t xml:space="preserve">03420</t>
  </si>
  <si>
    <t xml:space="preserve">TRINIDAD RIBERA, 2</t>
  </si>
  <si>
    <t xml:space="preserve">CASTALLA</t>
  </si>
  <si>
    <t xml:space="preserve">soledad.perez@actiu.com</t>
  </si>
  <si>
    <t xml:space="preserve">96 656 07 00</t>
  </si>
  <si>
    <t xml:space="preserve">4000000065</t>
  </si>
  <si>
    <t xml:space="preserve">16/01/23: Nos han dado de baja como clientes y en principio tendríamos que hacer los pedido a través de Carlin</t>
  </si>
  <si>
    <t xml:space="preserve">__import__.res_partner_20000000066</t>
  </si>
  <si>
    <t xml:space="preserve">20000000066</t>
  </si>
  <si>
    <t xml:space="preserve">AMAYA, S.A.</t>
  </si>
  <si>
    <t xml:space="preserve">ESA78649704</t>
  </si>
  <si>
    <t xml:space="preserve">C/ CASTRO BARTO, 11 BARRIO AEROPUERTO</t>
  </si>
  <si>
    <t xml:space="preserve">jose-antonio.magarinos@hamelinbrands.com</t>
  </si>
  <si>
    <t xml:space="preserve">91 747 62 66</t>
  </si>
  <si>
    <t xml:space="preserve">4000000066</t>
  </si>
  <si>
    <t xml:space="preserve">pedidos@gio-archivo.es</t>
  </si>
  <si>
    <t xml:space="preserve">__import__.res_partner_20000000067</t>
  </si>
  <si>
    <t xml:space="preserve">20000000067</t>
  </si>
  <si>
    <t xml:space="preserve">GRAFOPLAS, S.A.</t>
  </si>
  <si>
    <t xml:space="preserve">ESA15027139</t>
  </si>
  <si>
    <t xml:space="preserve">15180</t>
  </si>
  <si>
    <t xml:space="preserve">A Marisqueira S/N nave 6 Pol. Ind. Almeiras</t>
  </si>
  <si>
    <t xml:space="preserve">CULLEREDO</t>
  </si>
  <si>
    <t xml:space="preserve">981 67 76 77</t>
  </si>
  <si>
    <t xml:space="preserve">4000000067</t>
  </si>
  <si>
    <t xml:space="preserve"> Código.....: 361608 
 Contraseña nueva: ye4oinu2   
</t>
  </si>
  <si>
    <t xml:space="preserve">__import__.res_partner_20000000068</t>
  </si>
  <si>
    <t xml:space="preserve">20000000068</t>
  </si>
  <si>
    <t xml:space="preserve">APLI PAPER, S.A.U.</t>
  </si>
  <si>
    <t xml:space="preserve">ESA60914108</t>
  </si>
  <si>
    <t xml:space="preserve">AVDA. ARRAONA 120-124 C.IND.SANTIAGA</t>
  </si>
  <si>
    <t xml:space="preserve">BARBERA DEL VALLES</t>
  </si>
  <si>
    <t xml:space="preserve">ifernandez@apli.com</t>
  </si>
  <si>
    <t xml:space="preserve">93 747 91 00</t>
  </si>
  <si>
    <t xml:space="preserve">4000000068</t>
  </si>
  <si>
    <t xml:space="preserve">DESCUENTO POR COMPRA CENTRALIZADA 2.5% INDICAR POR LINEA DE PRODUCTO.
DESCUENTO POR PRONTO PAGO AÑADIR LINEA 0013 -  CANTIDAD EN NEGATIVO
https://olo3.apli.com/login
102933
Dous2011
</t>
  </si>
  <si>
    <t xml:space="preserve">__import__.res_partner_20000000069</t>
  </si>
  <si>
    <t xml:space="preserve">20000000069</t>
  </si>
  <si>
    <t xml:space="preserve">ENRI 2.000, S.A.</t>
  </si>
  <si>
    <t xml:space="preserve">ESA59524306</t>
  </si>
  <si>
    <t xml:space="preserve">17463</t>
  </si>
  <si>
    <t xml:space="preserve">CRTA. GERONA-PALAMÓS, KM. 11.8</t>
  </si>
  <si>
    <t xml:space="preserve">FLASSA</t>
  </si>
  <si>
    <t xml:space="preserve">jamagarinos@oxford-canson.es</t>
  </si>
  <si>
    <t xml:space="preserve">972 48 82 00</t>
  </si>
  <si>
    <t xml:space="preserve">4000000069</t>
  </si>
  <si>
    <t xml:space="preserve">__import__.res_partner_20000000071</t>
  </si>
  <si>
    <t xml:space="preserve">20000000071</t>
  </si>
  <si>
    <t xml:space="preserve">INTERNATIONAL PAPER</t>
  </si>
  <si>
    <t xml:space="preserve">ESB28187474</t>
  </si>
  <si>
    <t xml:space="preserve">08036</t>
  </si>
  <si>
    <t xml:space="preserve">Muntaner, 200  Ático 7ª</t>
  </si>
  <si>
    <t xml:space="preserve">93 411 00 34</t>
  </si>
  <si>
    <t xml:space="preserve">4000000071</t>
  </si>
  <si>
    <t xml:space="preserve">__import__.res_partner_20000000072</t>
  </si>
  <si>
    <t xml:space="preserve">20000000072</t>
  </si>
  <si>
    <t xml:space="preserve">DESMAR, S.L.</t>
  </si>
  <si>
    <t xml:space="preserve">ESB60399847</t>
  </si>
  <si>
    <t xml:space="preserve">08880</t>
  </si>
  <si>
    <t xml:space="preserve">C/MAESTRAT S/N   P.I. LES SALINES</t>
  </si>
  <si>
    <t xml:space="preserve">CUBELLES</t>
  </si>
  <si>
    <t xml:space="preserve">902 22 31 31</t>
  </si>
  <si>
    <t xml:space="preserve">4000000072</t>
  </si>
  <si>
    <t xml:space="preserve">__import__.res_partner_20000000073</t>
  </si>
  <si>
    <t xml:space="preserve">20000000073</t>
  </si>
  <si>
    <t xml:space="preserve">ASIA PULP AND PAPER SPAIN, S.A.</t>
  </si>
  <si>
    <t xml:space="preserve">ESA81689879</t>
  </si>
  <si>
    <t xml:space="preserve">28020</t>
  </si>
  <si>
    <t xml:space="preserve">C/ ESTEBANEZ CALDERON, 5  7ºC</t>
  </si>
  <si>
    <t xml:space="preserve">91 449 22 70</t>
  </si>
  <si>
    <t xml:space="preserve">4000000073</t>
  </si>
  <si>
    <t xml:space="preserve">__import__.res_partner_20000000074</t>
  </si>
  <si>
    <t xml:space="preserve">20000000074</t>
  </si>
  <si>
    <t xml:space="preserve">ARCHIVO DEL ESLA S.L.</t>
  </si>
  <si>
    <t xml:space="preserve">ESB24271389</t>
  </si>
  <si>
    <t xml:space="preserve">24950</t>
  </si>
  <si>
    <t xml:space="preserve">POL. IND. CISTIERNA C/A PARC 42</t>
  </si>
  <si>
    <t xml:space="preserve">VIDANES </t>
  </si>
  <si>
    <t xml:space="preserve">correo@archivokarman.es</t>
  </si>
  <si>
    <t xml:space="preserve">987713115</t>
  </si>
  <si>
    <t xml:space="preserve">KARMAN</t>
  </si>
  <si>
    <t xml:space="preserve">4000000074</t>
  </si>
  <si>
    <t xml:space="preserve">__import__.res_partner_20000000075</t>
  </si>
  <si>
    <t xml:space="preserve">20000000075</t>
  </si>
  <si>
    <t xml:space="preserve">FRAMUN, S.A.</t>
  </si>
  <si>
    <t xml:space="preserve">ESA08843799</t>
  </si>
  <si>
    <t xml:space="preserve">08240</t>
  </si>
  <si>
    <t xml:space="preserve">CRTA. DE VIC, KM. 2,6  APDO. CORREOS 11</t>
  </si>
  <si>
    <t xml:space="preserve">MANRESA</t>
  </si>
  <si>
    <t xml:space="preserve"> pedidos@framun.com</t>
  </si>
  <si>
    <t xml:space="preserve">938735142</t>
  </si>
  <si>
    <t xml:space="preserve">4000000075</t>
  </si>
  <si>
    <t xml:space="preserve">PORTES PAGADOS A PARTIR DE 300€</t>
  </si>
  <si>
    <t xml:space="preserve">__import__.res_partner_20000000076</t>
  </si>
  <si>
    <t xml:space="preserve">20000000076</t>
  </si>
  <si>
    <t xml:space="preserve">SUCESORES DE VDA. E. FAJEDA S.L (FAIBO)</t>
  </si>
  <si>
    <t xml:space="preserve">ESB17414046</t>
  </si>
  <si>
    <t xml:space="preserve">17800</t>
  </si>
  <si>
    <t xml:space="preserve">AVDA. DE GERONA,13  APARTADO 26</t>
  </si>
  <si>
    <t xml:space="preserve">OLOT</t>
  </si>
  <si>
    <t xml:space="preserve">972 260387 TERE</t>
  </si>
  <si>
    <t xml:space="preserve">4000000076</t>
  </si>
  <si>
    <t xml:space="preserve">DESCUENTO POR PRONTO PAGO AÑADIR LINEA 0013 Y UNIDAD EN NEGATIVO.
faibo@faibo.com
Si no llegamos a pedido mínimo cobran 8€ de portes
PORTES PAGADOS A PARTIR  DE 240€
Julio 2025 - Pago a 15 días, Dto. PP 2%
</t>
  </si>
  <si>
    <t xml:space="preserve">__import__.res_partner_20000000077</t>
  </si>
  <si>
    <t xml:space="preserve">20000000077</t>
  </si>
  <si>
    <t xml:space="preserve">PRODUCTOS IMEDIO, S.A.</t>
  </si>
  <si>
    <t xml:space="preserve">ESA78555380</t>
  </si>
  <si>
    <t xml:space="preserve">28045</t>
  </si>
  <si>
    <t xml:space="preserve">C/ OMBÚ, 3ªPL. 13 TORRE URBIS</t>
  </si>
  <si>
    <t xml:space="preserve">mposemuras@boltonadhesives.com</t>
  </si>
  <si>
    <t xml:space="preserve">91 506 26 70</t>
  </si>
  <si>
    <t xml:space="preserve">4000000077</t>
  </si>
  <si>
    <t xml:space="preserve">alrodriguez@boltonadhesives.com</t>
  </si>
  <si>
    <t xml:space="preserve">__import__.res_partner_20000000079</t>
  </si>
  <si>
    <t xml:space="preserve">20000000079</t>
  </si>
  <si>
    <t xml:space="preserve">NICI IBERICA, S.L.</t>
  </si>
  <si>
    <t xml:space="preserve">ESB62621768</t>
  </si>
  <si>
    <t xml:space="preserve">C/ Ramón Albó, 26</t>
  </si>
  <si>
    <t xml:space="preserve">93 243 14 67</t>
  </si>
  <si>
    <t xml:space="preserve">4000000079</t>
  </si>
  <si>
    <t xml:space="preserve">__import__.res_partner_20000000080</t>
  </si>
  <si>
    <t xml:space="preserve">20000000080</t>
  </si>
  <si>
    <t xml:space="preserve">STAEDTLER IBERIA, S.A.</t>
  </si>
  <si>
    <t xml:space="preserve">ESA28172344</t>
  </si>
  <si>
    <t xml:space="preserve">08755</t>
  </si>
  <si>
    <t xml:space="preserve">C/ COMUNICACIONS,12  (POLIG. AGRIPINA)</t>
  </si>
  <si>
    <t xml:space="preserve">CASTELLBISBAL</t>
  </si>
  <si>
    <t xml:space="preserve">leonardo.Botana@staedtler.com</t>
  </si>
  <si>
    <t xml:space="preserve">93 103 67 73</t>
  </si>
  <si>
    <t xml:space="preserve">STAEDTLER ESPAÑOLA, S.A.</t>
  </si>
  <si>
    <t xml:space="preserve">4000000080</t>
  </si>
  <si>
    <t xml:space="preserve">PARA PEDIR FACTURAS: MPALAZON@STAEDTLER.ES
TARIFA MENOS 25% - 4% = 28%
App para hacer pedidos:
https://www.swiftserver.co.uk:8181/apex/f?p=114:LOGIN_DESKTOP:::::P101_THEME_CODE:STAEDTLERIBERIA
Nombre de usuario: doc@doustrazos.com
Contraseña: #Dous2011
*Se puede descargar en el movil o tablet también, desde el Google Play o APP Store
OBJETIVO 2026 DE DOUS TRAZOS 23.000€ Y RAPPEL DIRECTO DEL 3% = 690€
</t>
  </si>
  <si>
    <t xml:space="preserve">__import__.res_partner_20000000081</t>
  </si>
  <si>
    <t xml:space="preserve">20000000081</t>
  </si>
  <si>
    <t xml:space="preserve">DOHE, S.A.</t>
  </si>
  <si>
    <t xml:space="preserve">ESA79008587</t>
  </si>
  <si>
    <t xml:space="preserve">28970</t>
  </si>
  <si>
    <t xml:space="preserve">AVDA. DE FUENLABRADA, 4</t>
  </si>
  <si>
    <t xml:space="preserve">HUMANES DE MADRID</t>
  </si>
  <si>
    <t xml:space="preserve">alba@villanuevadiz.com</t>
  </si>
  <si>
    <t xml:space="preserve">91 604 80 18</t>
  </si>
  <si>
    <t xml:space="preserve">4000000081</t>
  </si>
  <si>
    <t xml:space="preserve">sorayasanchez@dohe.es /  bbustelo@dohe.es
USUARIO: clientes@doustrazos.com
CONTRASEÑA: #Dous2011
</t>
  </si>
  <si>
    <t xml:space="preserve">__import__.res_partner_20000000082</t>
  </si>
  <si>
    <t xml:space="preserve">20000000082</t>
  </si>
  <si>
    <t xml:space="preserve">PAPIER, S.L.</t>
  </si>
  <si>
    <t xml:space="preserve">ESB78192192</t>
  </si>
  <si>
    <t xml:space="preserve">28946</t>
  </si>
  <si>
    <t xml:space="preserve">C/ BELMEZ, 12 - POL. IND.SEVILLA</t>
  </si>
  <si>
    <t xml:space="preserve">91 606 44 80</t>
  </si>
  <si>
    <t xml:space="preserve">4000000082</t>
  </si>
  <si>
    <t xml:space="preserve">__import__.res_partner_20000000084</t>
  </si>
  <si>
    <t xml:space="preserve">20000000084</t>
  </si>
  <si>
    <t xml:space="preserve">CARIOCA IBERIA, S.A.U</t>
  </si>
  <si>
    <t xml:space="preserve">ESA08152050</t>
  </si>
  <si>
    <t xml:space="preserve">08907</t>
  </si>
  <si>
    <t xml:space="preserve">C/CROMO, 116 </t>
  </si>
  <si>
    <t xml:space="preserve">L´HOSPITALET DE LLOBREGAT</t>
  </si>
  <si>
    <t xml:space="preserve">93 335 43 00</t>
  </si>
  <si>
    <t xml:space="preserve">CARIOCA</t>
  </si>
  <si>
    <t xml:space="preserve">4000000084</t>
  </si>
  <si>
    <t xml:space="preserve">DTO 50%</t>
  </si>
  <si>
    <t xml:space="preserve">__import__.res_partner_20000000085</t>
  </si>
  <si>
    <t xml:space="preserve">20000000085</t>
  </si>
  <si>
    <t xml:space="preserve">PORTA MOBILIARIO, S.L.</t>
  </si>
  <si>
    <t xml:space="preserve">ESB28563476</t>
  </si>
  <si>
    <t xml:space="preserve">28500</t>
  </si>
  <si>
    <t xml:space="preserve">C/ GRANADO S/N  POL. IN. EL GUIJAR</t>
  </si>
  <si>
    <t xml:space="preserve">ARGANDA DEL REY</t>
  </si>
  <si>
    <t xml:space="preserve">91 871 60 95</t>
  </si>
  <si>
    <t xml:space="preserve">4000000085</t>
  </si>
  <si>
    <t xml:space="preserve">__import__.res_partner_20000000086</t>
  </si>
  <si>
    <t xml:space="preserve">20000000086</t>
  </si>
  <si>
    <t xml:space="preserve">PLASTICOS PARDO, S.A.</t>
  </si>
  <si>
    <t xml:space="preserve">ESA20059457</t>
  </si>
  <si>
    <t xml:space="preserve">20800</t>
  </si>
  <si>
    <t xml:space="preserve">C/ ARABA, 19  APT.45</t>
  </si>
  <si>
    <t xml:space="preserve">ZARAUTZ</t>
  </si>
  <si>
    <t xml:space="preserve">943.83.38.00</t>
  </si>
  <si>
    <t xml:space="preserve">4000000086</t>
  </si>
  <si>
    <t xml:space="preserve">JAIME GALAN REBOREDO 607 552 896
20% DTO SOBRE TARIFA. MISMO DTO PARA EL CASCO
SI NO LLEGAMOS A PEDIDO MÍNIMO, APLICAN 9€ DE PORTES
</t>
  </si>
  <si>
    <t xml:space="preserve">__import__.res_partner_20000000087</t>
  </si>
  <si>
    <t xml:space="preserve">20000000087</t>
  </si>
  <si>
    <t xml:space="preserve">LEGAMI, SRL (R &amp; D)</t>
  </si>
  <si>
    <t xml:space="preserve">FALSO</t>
  </si>
  <si>
    <t xml:space="preserve">IT02937550164T</t>
  </si>
  <si>
    <t xml:space="preserve">24126</t>
  </si>
  <si>
    <t xml:space="preserve">VIA OZANAM 2</t>
  </si>
  <si>
    <t xml:space="preserve">VIA STEZZANO 18</t>
  </si>
  <si>
    <t xml:space="preserve">BERGAMO </t>
  </si>
  <si>
    <t xml:space="preserve">IT</t>
  </si>
  <si>
    <t xml:space="preserve">angeljs3@hotmail.com </t>
  </si>
  <si>
    <t xml:space="preserve">30, 60, 90 DIAS</t>
  </si>
  <si>
    <t xml:space="preserve">LEGAMI</t>
  </si>
  <si>
    <t xml:space="preserve">4000000087</t>
  </si>
  <si>
    <t xml:space="preserve">__import__.res_partner_20000000088</t>
  </si>
  <si>
    <t xml:space="preserve">20000000088</t>
  </si>
  <si>
    <t xml:space="preserve">PLANNING SISPLAMO, S.L.</t>
  </si>
  <si>
    <t xml:space="preserve">ESB60530342</t>
  </si>
  <si>
    <t xml:space="preserve">08291</t>
  </si>
  <si>
    <t xml:space="preserve">Polígono Industrial Molí d´en Xec C/ Can Barneda, Naves 5 y 7</t>
  </si>
  <si>
    <t xml:space="preserve">Ripollet</t>
  </si>
  <si>
    <t xml:space="preserve">sgil@planningsisplamo.com</t>
  </si>
  <si>
    <t xml:space="preserve">902007705</t>
  </si>
  <si>
    <t xml:space="preserve">4000000088</t>
  </si>
  <si>
    <t xml:space="preserve">__import__.res_partner_20000000090</t>
  </si>
  <si>
    <t xml:space="preserve">20000000090</t>
  </si>
  <si>
    <t xml:space="preserve">SILLAS Y SISTEMAS, S.L.</t>
  </si>
  <si>
    <t xml:space="preserve">ESB24498560</t>
  </si>
  <si>
    <t xml:space="preserve">24009</t>
  </si>
  <si>
    <t xml:space="preserve">SAN JUAN BOSCO, 36</t>
  </si>
  <si>
    <t xml:space="preserve">LEON</t>
  </si>
  <si>
    <t xml:space="preserve">987 84 97 20</t>
  </si>
  <si>
    <t xml:space="preserve">4000000090</t>
  </si>
  <si>
    <t xml:space="preserve">__import__.res_partner_20000000091</t>
  </si>
  <si>
    <t xml:space="preserve">20000000091</t>
  </si>
  <si>
    <t xml:space="preserve">HENKEL IBERICA, S.A.</t>
  </si>
  <si>
    <t xml:space="preserve">ESA08046799</t>
  </si>
  <si>
    <t xml:space="preserve">08025</t>
  </si>
  <si>
    <t xml:space="preserve">C/ CORCEGA, 480-492</t>
  </si>
  <si>
    <t xml:space="preserve">juliocesar.villamar@es.henkel.com</t>
  </si>
  <si>
    <t xml:space="preserve">93 290 40 00</t>
  </si>
  <si>
    <t xml:space="preserve">4000000091</t>
  </si>
  <si>
    <t xml:space="preserve">__import__.res_partner_20000000092</t>
  </si>
  <si>
    <t xml:space="preserve">20000000092</t>
  </si>
  <si>
    <t xml:space="preserve">LUXO ESPAÑOLA</t>
  </si>
  <si>
    <t xml:space="preserve">ESA08930588</t>
  </si>
  <si>
    <t xml:space="preserve">08028</t>
  </si>
  <si>
    <t xml:space="preserve">C/ SUGRANYES, 39-41</t>
  </si>
  <si>
    <t xml:space="preserve">93 431 88 11</t>
  </si>
  <si>
    <t xml:space="preserve">4000000092</t>
  </si>
  <si>
    <t xml:space="preserve">__import__.res_partner_20000000093</t>
  </si>
  <si>
    <t xml:space="preserve">20000000093</t>
  </si>
  <si>
    <t xml:space="preserve">BIOS COMPUTER, S.L.</t>
  </si>
  <si>
    <t xml:space="preserve">ESB81154114</t>
  </si>
  <si>
    <t xml:space="preserve">28034</t>
  </si>
  <si>
    <t xml:space="preserve">VIRGEN DE ARANZAZU, 18 LOCAL</t>
  </si>
  <si>
    <t xml:space="preserve">91 729 29 00</t>
  </si>
  <si>
    <t xml:space="preserve">4000000093</t>
  </si>
  <si>
    <t xml:space="preserve">__import__.res_partner_20000000094</t>
  </si>
  <si>
    <t xml:space="preserve">20000000094</t>
  </si>
  <si>
    <t xml:space="preserve">LANIER ESPAÑA, S.A.</t>
  </si>
  <si>
    <t xml:space="preserve">ESA78347739</t>
  </si>
  <si>
    <t xml:space="preserve">C/ ALBACETE, 1 - 1ª PLTA.</t>
  </si>
  <si>
    <t xml:space="preserve">91 405 73 25</t>
  </si>
  <si>
    <t xml:space="preserve">4000000094</t>
  </si>
  <si>
    <t xml:space="preserve">__import__.res_partner_20000000095</t>
  </si>
  <si>
    <t xml:space="preserve">20000000095</t>
  </si>
  <si>
    <t xml:space="preserve">H.I. SALVADORES, S.A.</t>
  </si>
  <si>
    <t xml:space="preserve">ESA24012890</t>
  </si>
  <si>
    <t xml:space="preserve">24700</t>
  </si>
  <si>
    <t xml:space="preserve">Plaza San Julián, 1</t>
  </si>
  <si>
    <t xml:space="preserve">ASTORGA</t>
  </si>
  <si>
    <t xml:space="preserve">987 61 52 89</t>
  </si>
  <si>
    <t xml:space="preserve">4000000095</t>
  </si>
  <si>
    <t xml:space="preserve">__import__.res_partner_20000000098</t>
  </si>
  <si>
    <t xml:space="preserve">20000000098</t>
  </si>
  <si>
    <t xml:space="preserve">UMEC, S.A.</t>
  </si>
  <si>
    <t xml:space="preserve">ESA58042110</t>
  </si>
  <si>
    <t xml:space="preserve">08184</t>
  </si>
  <si>
    <t xml:space="preserve">Pol. Palau Industrial  C/ Templer Guidó, 45</t>
  </si>
  <si>
    <t xml:space="preserve">Palau i Solità de Plagamans</t>
  </si>
  <si>
    <t xml:space="preserve">93 864 95 29</t>
  </si>
  <si>
    <t xml:space="preserve">4000000098</t>
  </si>
  <si>
    <t xml:space="preserve">__import__.res_partner_20000000100</t>
  </si>
  <si>
    <t xml:space="preserve">20000000100</t>
  </si>
  <si>
    <t xml:space="preserve">INDUSTRIAS SARO, S.A.</t>
  </si>
  <si>
    <t xml:space="preserve">ESA28136224</t>
  </si>
  <si>
    <t xml:space="preserve">28906</t>
  </si>
  <si>
    <t xml:space="preserve">C/ CALIDAD, 70       POL. IND. LOS OLIVOS</t>
  </si>
  <si>
    <t xml:space="preserve">GETAFE</t>
  </si>
  <si>
    <t xml:space="preserve">91 601 11 50</t>
  </si>
  <si>
    <t xml:space="preserve">4000000100</t>
  </si>
  <si>
    <t xml:space="preserve">__import__.res_partner_20000000111</t>
  </si>
  <si>
    <t xml:space="preserve">20000000111</t>
  </si>
  <si>
    <t xml:space="preserve">UNIVERSAL IMPORTADORA ALICANTINA S.A</t>
  </si>
  <si>
    <t xml:space="preserve">ESA03098332</t>
  </si>
  <si>
    <t xml:space="preserve">3440</t>
  </si>
  <si>
    <t xml:space="preserve">AVDA DEL JUGUETE20</t>
  </si>
  <si>
    <t xml:space="preserve">IBI</t>
  </si>
  <si>
    <t xml:space="preserve">jaimevazquez@unimasa.es</t>
  </si>
  <si>
    <t xml:space="preserve">965550398</t>
  </si>
  <si>
    <t xml:space="preserve">UNIMASA</t>
  </si>
  <si>
    <t xml:space="preserve">4000000111</t>
  </si>
  <si>
    <t xml:space="preserve">__import__.res_partner_20000000112</t>
  </si>
  <si>
    <t xml:space="preserve">20000000112</t>
  </si>
  <si>
    <t xml:space="preserve">PAPERERA DE GIRONA S.A.</t>
  </si>
  <si>
    <t xml:space="preserve">ESA17081605</t>
  </si>
  <si>
    <t xml:space="preserve">17840</t>
  </si>
  <si>
    <t xml:space="preserve">JOSE FLORES, 45</t>
  </si>
  <si>
    <t xml:space="preserve">SARRIA DE TER</t>
  </si>
  <si>
    <t xml:space="preserve">jpanades@gironapaper.com</t>
  </si>
  <si>
    <t xml:space="preserve">972 170 270</t>
  </si>
  <si>
    <t xml:space="preserve">PAPERERA DE GIRONA</t>
  </si>
  <si>
    <t xml:space="preserve">4000000112</t>
  </si>
  <si>
    <t xml:space="preserve">__import__.res_partner_20000000119</t>
  </si>
  <si>
    <t xml:space="preserve">20000000119</t>
  </si>
  <si>
    <t xml:space="preserve">AMBAR - IDEIAS NO PAPEL S.A.</t>
  </si>
  <si>
    <t xml:space="preserve">PT500019720</t>
  </si>
  <si>
    <t xml:space="preserve">4100-321</t>
  </si>
  <si>
    <t xml:space="preserve">PORTO RUA MANUEL PINTO DE AZEVEDO 363</t>
  </si>
  <si>
    <t xml:space="preserve">PORTO</t>
  </si>
  <si>
    <t xml:space="preserve">PT</t>
  </si>
  <si>
    <t xml:space="preserve"> jagq0007@gmail.com</t>
  </si>
  <si>
    <t xml:space="preserve">226151400</t>
  </si>
  <si>
    <t xml:space="preserve">NULL</t>
  </si>
  <si>
    <t xml:space="preserve">4000000119</t>
  </si>
  <si>
    <t xml:space="preserve">__import__.res_partner_20000000120</t>
  </si>
  <si>
    <t xml:space="preserve">20000000120</t>
  </si>
  <si>
    <t xml:space="preserve">XALLAS FLEJES Y SUMINISTROS DEL EMBALAJE S.L.</t>
  </si>
  <si>
    <t xml:space="preserve">ESB15885171</t>
  </si>
  <si>
    <t xml:space="preserve">15872</t>
  </si>
  <si>
    <t xml:space="preserve">Ctra. Santiago – Santa Comba, Km. 18</t>
  </si>
  <si>
    <t xml:space="preserve">PARAMOS - VAL DO LUBRA</t>
  </si>
  <si>
    <t xml:space="preserve">ricardo@xallasembalajes.com</t>
  </si>
  <si>
    <t xml:space="preserve">981 892996</t>
  </si>
  <si>
    <t xml:space="preserve">XALLAS</t>
  </si>
  <si>
    <t xml:space="preserve">4000000120</t>
  </si>
  <si>
    <t xml:space="preserve">__import__.res_partner_20000000121</t>
  </si>
  <si>
    <t xml:space="preserve">20000000121</t>
  </si>
  <si>
    <t xml:space="preserve">LGI ASESORAMIENTO INFORMATICO S.L.</t>
  </si>
  <si>
    <t xml:space="preserve">ESB60544475</t>
  </si>
  <si>
    <t xml:space="preserve">08003</t>
  </si>
  <si>
    <t xml:space="preserve">MENDEZ NUÑEZ 6 1º</t>
  </si>
  <si>
    <t xml:space="preserve">TRANSFERENCIA BANCARIA</t>
  </si>
  <si>
    <t xml:space="preserve">4000000121</t>
  </si>
  <si>
    <t xml:space="preserve">__import__.res_partner_20000000122</t>
  </si>
  <si>
    <t xml:space="preserve">20000000122</t>
  </si>
  <si>
    <t xml:space="preserve">MARCAJE Y GRABADO, C.B</t>
  </si>
  <si>
    <t xml:space="preserve">ESE36393809</t>
  </si>
  <si>
    <t xml:space="preserve">36002</t>
  </si>
  <si>
    <t xml:space="preserve">CRUZ ROJA, 6</t>
  </si>
  <si>
    <t xml:space="preserve">PONTEVEDRA</t>
  </si>
  <si>
    <t xml:space="preserve">sellos@marcajeygrabado.com</t>
  </si>
  <si>
    <t xml:space="preserve">986 866 661</t>
  </si>
  <si>
    <t xml:space="preserve">4000000122</t>
  </si>
  <si>
    <t xml:space="preserve">sellos@marcajeygrabado.com
29/04/24: Precio para las gomas: el mismo que para los sellos con montura madera - 1€
</t>
  </si>
  <si>
    <t xml:space="preserve">__import__.res_partner_20000000123</t>
  </si>
  <si>
    <t xml:space="preserve">20000000123</t>
  </si>
  <si>
    <t xml:space="preserve">RCC, S.L.</t>
  </si>
  <si>
    <t xml:space="preserve">ESB60688249</t>
  </si>
  <si>
    <t xml:space="preserve">08940</t>
  </si>
  <si>
    <t xml:space="preserve">C/ CADIS, 17 (ANTIGUO SECTOR SIEMENS)</t>
  </si>
  <si>
    <t xml:space="preserve">CORNELLÁ DE LLOBREGAT</t>
  </si>
  <si>
    <t xml:space="preserve">93 373 52 75</t>
  </si>
  <si>
    <t xml:space="preserve">4000000123</t>
  </si>
  <si>
    <t xml:space="preserve">__import__.res_partner_20000000124</t>
  </si>
  <si>
    <t xml:space="preserve">20000000124</t>
  </si>
  <si>
    <t xml:space="preserve">IBERLIM, S.A.</t>
  </si>
  <si>
    <t xml:space="preserve">ESA43058387</t>
  </si>
  <si>
    <t xml:space="preserve">43700</t>
  </si>
  <si>
    <t xml:space="preserve">C/ TERRISSAIRES, 10-14 POL. IND. LA COMETA</t>
  </si>
  <si>
    <t xml:space="preserve">EL VENDRELL</t>
  </si>
  <si>
    <t xml:space="preserve">977 66 00 03</t>
  </si>
  <si>
    <t xml:space="preserve">4000000124</t>
  </si>
  <si>
    <t xml:space="preserve">__import__.res_partner_20000000125</t>
  </si>
  <si>
    <t xml:space="preserve">20000000125</t>
  </si>
  <si>
    <t xml:space="preserve">J. VILASECA, S.A.</t>
  </si>
  <si>
    <t xml:space="preserve">ESA08027013</t>
  </si>
  <si>
    <t xml:space="preserve">08010</t>
  </si>
  <si>
    <t xml:space="preserve">POL. URQUIAMAONA, 6</t>
  </si>
  <si>
    <t xml:space="preserve">               </t>
  </si>
  <si>
    <t xml:space="preserve">4000000125</t>
  </si>
  <si>
    <t xml:space="preserve">__import__.res_partner_20000000126</t>
  </si>
  <si>
    <t xml:space="preserve">20000000126</t>
  </si>
  <si>
    <t xml:space="preserve">GESCO DIGITAL, S.L.</t>
  </si>
  <si>
    <t xml:space="preserve">ESB83398206</t>
  </si>
  <si>
    <t xml:space="preserve">28880</t>
  </si>
  <si>
    <t xml:space="preserve">Antigua Carretera de los Santos de la Humosa Edificio 3, local E 3.5</t>
  </si>
  <si>
    <t xml:space="preserve">MECO</t>
  </si>
  <si>
    <t xml:space="preserve">91.830.72.01</t>
  </si>
  <si>
    <t xml:space="preserve">4000000126</t>
  </si>
  <si>
    <t xml:space="preserve">__import__.res_partner_20000000127</t>
  </si>
  <si>
    <t xml:space="preserve">20000000127</t>
  </si>
  <si>
    <t xml:space="preserve">GP BATTERIES (GDP GENERAL DE PILAS, S.L.)</t>
  </si>
  <si>
    <t xml:space="preserve">ESB08813867</t>
  </si>
  <si>
    <t xml:space="preserve">08008</t>
  </si>
  <si>
    <t xml:space="preserve">BALMES, 89  6º 2ª</t>
  </si>
  <si>
    <t xml:space="preserve">93.451.20.11</t>
  </si>
  <si>
    <t xml:space="preserve">4000000127</t>
  </si>
  <si>
    <t xml:space="preserve">__import__.res_partner_20000000128</t>
  </si>
  <si>
    <t xml:space="preserve">20000000128</t>
  </si>
  <si>
    <t xml:space="preserve">GRAPHILAND GROUP, S.L.</t>
  </si>
  <si>
    <t xml:space="preserve">ESB39375381</t>
  </si>
  <si>
    <t xml:space="preserve">39608</t>
  </si>
  <si>
    <t xml:space="preserve">POL. ELEGARCU  C/CENTRAL, NAVES 12-13</t>
  </si>
  <si>
    <t xml:space="preserve">CACICEDO DE CAMARGO</t>
  </si>
  <si>
    <t xml:space="preserve">rosarebolledo@graphilandgroup.com</t>
  </si>
  <si>
    <t xml:space="preserve">902170218/94226</t>
  </si>
  <si>
    <t xml:space="preserve">4000000128</t>
  </si>
  <si>
    <t xml:space="preserve">__import__.res_partner_20000000129</t>
  </si>
  <si>
    <t xml:space="preserve">20000000129</t>
  </si>
  <si>
    <t xml:space="preserve">YOSAN, S.A.</t>
  </si>
  <si>
    <t xml:space="preserve">ESA46234605</t>
  </si>
  <si>
    <t xml:space="preserve">46220</t>
  </si>
  <si>
    <t xml:space="preserve">Avda. del Sur, 57</t>
  </si>
  <si>
    <t xml:space="preserve">Picassent</t>
  </si>
  <si>
    <t xml:space="preserve">vsanchez@yosan.com</t>
  </si>
  <si>
    <t xml:space="preserve">961 232 511</t>
  </si>
  <si>
    <t xml:space="preserve">4000000129</t>
  </si>
  <si>
    <t xml:space="preserve">__import__.res_partner_20000000130</t>
  </si>
  <si>
    <t xml:space="preserve">20000000130</t>
  </si>
  <si>
    <t xml:space="preserve">CÍA DE DISTRIBUCION DE SOFTWARE, S.A. (G</t>
  </si>
  <si>
    <t xml:space="preserve">ESB78098308</t>
  </si>
  <si>
    <t xml:space="preserve">28830</t>
  </si>
  <si>
    <t xml:space="preserve">C/ Edif. Europa 2ª planta Parque Empresa</t>
  </si>
  <si>
    <t xml:space="preserve">Madrid</t>
  </si>
  <si>
    <t xml:space="preserve">91.660.08.30</t>
  </si>
  <si>
    <t xml:space="preserve">4000000130</t>
  </si>
  <si>
    <t xml:space="preserve">__import__.res_partner_20000000132</t>
  </si>
  <si>
    <t xml:space="preserve">20000000132</t>
  </si>
  <si>
    <t xml:space="preserve">EXACLAIR, S.A.</t>
  </si>
  <si>
    <t xml:space="preserve">ESA58123811</t>
  </si>
  <si>
    <t xml:space="preserve">08110</t>
  </si>
  <si>
    <t xml:space="preserve">Pol. Can Cuyás C/ Escultura, nave 18/19</t>
  </si>
  <si>
    <t xml:space="preserve">Montcada I Reixac</t>
  </si>
  <si>
    <t xml:space="preserve">sbarraguer@exaclair.es</t>
  </si>
  <si>
    <t xml:space="preserve">93.564.53.07</t>
  </si>
  <si>
    <t xml:space="preserve">4000000132</t>
  </si>
  <si>
    <r>
      <rPr>
        <sz val="11"/>
        <color rgb="FF000000"/>
        <rFont val="Calibri"/>
        <family val="2"/>
        <charset val="1"/>
      </rPr>
      <t xml:space="preserve">santiago balaguer
</t>
    </r>
    <r>
      <rPr>
        <sz val="10"/>
        <color rgb="FF000000"/>
        <rFont val="Arial"/>
        <family val="2"/>
        <charset val="1"/>
      </rPr>
      <t xml:space="preserve">portes pagados para mas de 195€</t>
    </r>
  </si>
  <si>
    <t xml:space="preserve">__import__.res_partner_20000000133</t>
  </si>
  <si>
    <t xml:space="preserve">20000000133</t>
  </si>
  <si>
    <t xml:space="preserve">MONTICHELVO INDUSTRIAL, S.A.</t>
  </si>
  <si>
    <t xml:space="preserve">ESA46370730</t>
  </si>
  <si>
    <t xml:space="preserve">46180</t>
  </si>
  <si>
    <t xml:space="preserve">P.I. Benaguacil, s/n</t>
  </si>
  <si>
    <t xml:space="preserve">Benaguacil</t>
  </si>
  <si>
    <t xml:space="preserve">vidaljogue@gmail.com</t>
  </si>
  <si>
    <t xml:space="preserve">96.273.72.52</t>
  </si>
  <si>
    <t xml:space="preserve">4000000133</t>
  </si>
  <si>
    <t xml:space="preserve">__import__.res_partner_20000000134</t>
  </si>
  <si>
    <t xml:space="preserve">20000000134</t>
  </si>
  <si>
    <t xml:space="preserve">FELLOWES IBERICA, S.L.</t>
  </si>
  <si>
    <t xml:space="preserve">ESB84265172</t>
  </si>
  <si>
    <t xml:space="preserve">Pº de las Flores 23, Nave 3 y 4</t>
  </si>
  <si>
    <t xml:space="preserve">91 748 05 01</t>
  </si>
  <si>
    <t xml:space="preserve">4000000134</t>
  </si>
  <si>
    <t xml:space="preserve">Tenemos el 5% Dto como almacen regulador</t>
  </si>
  <si>
    <t xml:space="preserve">__import__.res_partner_20000000136</t>
  </si>
  <si>
    <t xml:space="preserve">20000000136</t>
  </si>
  <si>
    <t xml:space="preserve">FULCO, S.A. (JOVI)</t>
  </si>
  <si>
    <t xml:space="preserve">ESA08828113</t>
  </si>
  <si>
    <t xml:space="preserve">08820</t>
  </si>
  <si>
    <t xml:space="preserve">C/ 112, nº 9 T. Pol. Ind. Pratenc P.O. BOX 149</t>
  </si>
  <si>
    <t xml:space="preserve">El Prat de Llobregat</t>
  </si>
  <si>
    <t xml:space="preserve">93 479 18 18</t>
  </si>
  <si>
    <t xml:space="preserve">4000000136</t>
  </si>
  <si>
    <t xml:space="preserve">Drive con material audivisual:
https://drive.google.com/drive/u/0/folders/1Lt9F0ljvRLpa8EqLwo3dqXfr3BbJEDp6</t>
  </si>
  <si>
    <t xml:space="preserve">__import__.res_partner_20000000137</t>
  </si>
  <si>
    <t xml:space="preserve">20000000137</t>
  </si>
  <si>
    <t xml:space="preserve">MAP MERCHANT SPAIN, S.A.U.</t>
  </si>
  <si>
    <t xml:space="preserve">ESA78456506</t>
  </si>
  <si>
    <t xml:space="preserve">28914</t>
  </si>
  <si>
    <t xml:space="preserve">C/ Arroyo de Valdegrullas, s/n Pol. Ind. La Laguna</t>
  </si>
  <si>
    <t xml:space="preserve">Leganés</t>
  </si>
  <si>
    <t xml:space="preserve">91 685 62 40</t>
  </si>
  <si>
    <t xml:space="preserve">4000000137</t>
  </si>
  <si>
    <t xml:space="preserve">__import__.res_partner_20000000138</t>
  </si>
  <si>
    <t xml:space="preserve">20000000138</t>
  </si>
  <si>
    <t xml:space="preserve">METALSISTEM GROUP, S.A. (SIDAC IBERIA)</t>
  </si>
  <si>
    <t xml:space="preserve">ESA60320041</t>
  </si>
  <si>
    <t xml:space="preserve">Pol. Ind. Can Tapioles C/ Narcís Monturi</t>
  </si>
  <si>
    <t xml:space="preserve">93 565 18 00</t>
  </si>
  <si>
    <t xml:space="preserve">4000000138</t>
  </si>
  <si>
    <t xml:space="preserve">__import__.res_partner_20000000139</t>
  </si>
  <si>
    <t xml:space="preserve">20000000139</t>
  </si>
  <si>
    <t xml:space="preserve">AUGE INFORMATICA, S.L.</t>
  </si>
  <si>
    <t xml:space="preserve">ESB80489180</t>
  </si>
  <si>
    <t xml:space="preserve">28919</t>
  </si>
  <si>
    <t xml:space="preserve">Puerto de la Morcuera, 14-16 Módulo B3 Pol. Ind. Prado Overa</t>
  </si>
  <si>
    <t xml:space="preserve">pilar.quebrada@augeinformatica.es</t>
  </si>
  <si>
    <t xml:space="preserve">902181470</t>
  </si>
  <si>
    <t xml:space="preserve">4000000139</t>
  </si>
  <si>
    <t xml:space="preserve">__import__.res_partner_20000000140</t>
  </si>
  <si>
    <t xml:space="preserve">20000000140</t>
  </si>
  <si>
    <t xml:space="preserve">PRODUCTOS MANLEY, S.A.</t>
  </si>
  <si>
    <t xml:space="preserve">ESA08787426</t>
  </si>
  <si>
    <t xml:space="preserve">Avda. San Antonio María Claret, 387-389</t>
  </si>
  <si>
    <t xml:space="preserve">colores@manley.es</t>
  </si>
  <si>
    <t xml:space="preserve">93 352 32 51</t>
  </si>
  <si>
    <t xml:space="preserve">4000000140</t>
  </si>
  <si>
    <t xml:space="preserve">__import__.res_partner_20000000141</t>
  </si>
  <si>
    <t xml:space="preserve">20000000141</t>
  </si>
  <si>
    <t xml:space="preserve">COFRAP ESPAÑOLA, S.A.</t>
  </si>
  <si>
    <t xml:space="preserve">ESA28533586</t>
  </si>
  <si>
    <t xml:space="preserve">Galileo Galilei, 2 - Poligono Industrial La Garena</t>
  </si>
  <si>
    <t xml:space="preserve">juan.rodriguez@cofrap.com</t>
  </si>
  <si>
    <t xml:space="preserve">902103660</t>
  </si>
  <si>
    <t xml:space="preserve">MAPED (COFRAP ESPAÑOLA, S.A.)</t>
  </si>
  <si>
    <t xml:space="preserve">4000000141</t>
  </si>
  <si>
    <t xml:space="preserve">maribel.vicente@cofrap.com</t>
  </si>
  <si>
    <t xml:space="preserve">__import__.res_partner_20000000142</t>
  </si>
  <si>
    <t xml:space="preserve">20000000142</t>
  </si>
  <si>
    <t xml:space="preserve">TELEMATIX ON LINE, S.L.</t>
  </si>
  <si>
    <t xml:space="preserve">ESB83837567</t>
  </si>
  <si>
    <t xml:space="preserve">28670</t>
  </si>
  <si>
    <t xml:space="preserve">POL. IND. QUITAPESARES, AV. QUITAPESARES, 22</t>
  </si>
  <si>
    <t xml:space="preserve">VILLAVICIOSA DE ODON</t>
  </si>
  <si>
    <t xml:space="preserve">91 616 93 51</t>
  </si>
  <si>
    <t xml:space="preserve">4000000142</t>
  </si>
  <si>
    <t xml:space="preserve">__import__.res_partner_20000000145</t>
  </si>
  <si>
    <t xml:space="preserve">20000000145</t>
  </si>
  <si>
    <t xml:space="preserve">TOMÁS MADRID FUENTES, S.L. (MONTAJE TIENDAS CARLIN)</t>
  </si>
  <si>
    <t xml:space="preserve">ESB28689370</t>
  </si>
  <si>
    <t xml:space="preserve">28922</t>
  </si>
  <si>
    <t xml:space="preserve">C/ Roma, 7 (Parque Del Oeste)</t>
  </si>
  <si>
    <t xml:space="preserve">91.488.12.00</t>
  </si>
  <si>
    <t xml:space="preserve">RES. MENS. + 30 DIAS</t>
  </si>
  <si>
    <t xml:space="preserve">4000000145</t>
  </si>
  <si>
    <t xml:space="preserve">__import__.res_partner_20000000146</t>
  </si>
  <si>
    <t xml:space="preserve">20000000146</t>
  </si>
  <si>
    <t xml:space="preserve">CHARMEX INTERNACIONAL, S.A.</t>
  </si>
  <si>
    <t xml:space="preserve">ESA60363355</t>
  </si>
  <si>
    <t xml:space="preserve">Cº de Hormigueras, 122  5ºL</t>
  </si>
  <si>
    <t xml:space="preserve">charmex@charmex.net</t>
  </si>
  <si>
    <t xml:space="preserve">91.303.24.84</t>
  </si>
  <si>
    <t xml:space="preserve">4000000146</t>
  </si>
  <si>
    <t xml:space="preserve">__import__.res_partner_20000000147</t>
  </si>
  <si>
    <t xml:space="preserve">20000000147</t>
  </si>
  <si>
    <t xml:space="preserve">EDIT 66, S.A.</t>
  </si>
  <si>
    <t xml:space="preserve">ESA58242959</t>
  </si>
  <si>
    <t xml:space="preserve">C/ Electrónica, 2 (Pol. Ind. La Ferreira)</t>
  </si>
  <si>
    <t xml:space="preserve">Montcada i Reixac</t>
  </si>
  <si>
    <t xml:space="preserve">93.575.20.50</t>
  </si>
  <si>
    <t xml:space="preserve">4000000147</t>
  </si>
  <si>
    <t xml:space="preserve">__import__.res_partner_20000000148</t>
  </si>
  <si>
    <t xml:space="preserve">20000000148</t>
  </si>
  <si>
    <t xml:space="preserve">DICORA, S.L.</t>
  </si>
  <si>
    <t xml:space="preserve">ESB83309187</t>
  </si>
  <si>
    <t xml:space="preserve">28935</t>
  </si>
  <si>
    <t xml:space="preserve">Puerto de Navafría, 1  Pol. Ind. Nº 6</t>
  </si>
  <si>
    <t xml:space="preserve">MOSTOLES</t>
  </si>
  <si>
    <t xml:space="preserve">91 616 41 20</t>
  </si>
  <si>
    <t xml:space="preserve">4000000148</t>
  </si>
  <si>
    <t xml:space="preserve">__import__.res_partner_20000000149</t>
  </si>
  <si>
    <t xml:space="preserve">20000000149</t>
  </si>
  <si>
    <t xml:space="preserve">FACTICA, S.L. (FINGERMAX)</t>
  </si>
  <si>
    <t xml:space="preserve">ESB83887836</t>
  </si>
  <si>
    <t xml:space="preserve">28250</t>
  </si>
  <si>
    <t xml:space="preserve">C/ Ricardo León, 17</t>
  </si>
  <si>
    <t xml:space="preserve">TORRELODONES</t>
  </si>
  <si>
    <t xml:space="preserve">91.710.41.93</t>
  </si>
  <si>
    <t xml:space="preserve">4000000149</t>
  </si>
  <si>
    <t xml:space="preserve">__import__.res_partner_20000000151</t>
  </si>
  <si>
    <t xml:space="preserve">20000000151</t>
  </si>
  <si>
    <t xml:space="preserve">SUSAETA EDICIONES, S.A.</t>
  </si>
  <si>
    <t xml:space="preserve">ESA28120087</t>
  </si>
  <si>
    <t xml:space="preserve">08190</t>
  </si>
  <si>
    <t xml:space="preserve">Cardenal Cisneros, 8</t>
  </si>
  <si>
    <t xml:space="preserve">Valldoreix 08190 Sant Cugat</t>
  </si>
  <si>
    <t xml:space="preserve">del.coruna@susaeta.com</t>
  </si>
  <si>
    <t xml:space="preserve">93.675.04.55 </t>
  </si>
  <si>
    <t xml:space="preserve">4000000151</t>
  </si>
  <si>
    <t xml:space="preserve">__import__.res_partner_20000000152</t>
  </si>
  <si>
    <t xml:space="preserve">20000000152</t>
  </si>
  <si>
    <t xml:space="preserve">TESA TAPE, S.A.</t>
  </si>
  <si>
    <t xml:space="preserve">ESA62982012</t>
  </si>
  <si>
    <t xml:space="preserve">08310</t>
  </si>
  <si>
    <t xml:space="preserve">CL. SELVA DE MAR 125 10ªPLANTA</t>
  </si>
  <si>
    <t xml:space="preserve">ARGENTONA</t>
  </si>
  <si>
    <t xml:space="preserve">noelia.vidal@tesa.com</t>
  </si>
  <si>
    <t xml:space="preserve">937583356</t>
  </si>
  <si>
    <t xml:space="preserve">4000000152</t>
  </si>
  <si>
    <t xml:space="preserve">PEDIDO MÍNIMO 350€ PARA MENOS PEDIDO TIENEN UN RECARGO DE 35€</t>
  </si>
  <si>
    <t xml:space="preserve">__import__.res_partner_20000000154</t>
  </si>
  <si>
    <t xml:space="preserve">20000000154</t>
  </si>
  <si>
    <t xml:space="preserve">INOVIX TECHNOLOGY, S.L.</t>
  </si>
  <si>
    <t xml:space="preserve">ESB63414601</t>
  </si>
  <si>
    <t xml:space="preserve">08202</t>
  </si>
  <si>
    <t xml:space="preserve">C/ Mimo, 18  Pol. Ind. Can Roqueta</t>
  </si>
  <si>
    <t xml:space="preserve">93.715.68.68</t>
  </si>
  <si>
    <t xml:space="preserve">4000000154</t>
  </si>
  <si>
    <t xml:space="preserve">__import__.res_partner_20000000155</t>
  </si>
  <si>
    <t xml:space="preserve">20000000155</t>
  </si>
  <si>
    <t xml:space="preserve">NOGUERA Y VINTRO, S.A.</t>
  </si>
  <si>
    <t xml:space="preserve">ESA08084436</t>
  </si>
  <si>
    <t xml:space="preserve">C/ Ávila, 129</t>
  </si>
  <si>
    <t xml:space="preserve">933005511</t>
  </si>
  <si>
    <t xml:space="preserve">4000000155</t>
  </si>
  <si>
    <t xml:space="preserve">__import__.res_partner_20000000156</t>
  </si>
  <si>
    <t xml:space="preserve">20000000156</t>
  </si>
  <si>
    <t xml:space="preserve">UFP ESPAÑA, S.A.</t>
  </si>
  <si>
    <t xml:space="preserve">ESA81250862</t>
  </si>
  <si>
    <t xml:space="preserve">Pol. Ind. San Marcos - C/ Morse, 51</t>
  </si>
  <si>
    <t xml:space="preserve">mc.portillo@ufp.es</t>
  </si>
  <si>
    <t xml:space="preserve">902.23.11.47</t>
  </si>
  <si>
    <t xml:space="preserve">45 DIAS</t>
  </si>
  <si>
    <t xml:space="preserve">4000000156</t>
  </si>
  <si>
    <r>
      <rPr>
        <sz val="11"/>
        <color rgb="FF000000"/>
        <rFont val="Calibri"/>
        <family val="2"/>
        <charset val="1"/>
      </rPr>
      <t xml:space="preserve">22713
</t>
    </r>
    <r>
      <rPr>
        <sz val="10"/>
        <color rgb="FF000000"/>
        <rFont val="Arial"/>
        <family val="2"/>
        <charset val="1"/>
      </rPr>
      <t xml:space="preserve">Dous2011</t>
    </r>
  </si>
  <si>
    <t xml:space="preserve">__import__.res_partner_20000000157</t>
  </si>
  <si>
    <t xml:space="preserve">20000000157</t>
  </si>
  <si>
    <t xml:space="preserve">VERSONI, S.A.</t>
  </si>
  <si>
    <t xml:space="preserve">ESA13035597</t>
  </si>
  <si>
    <t xml:space="preserve">13420</t>
  </si>
  <si>
    <t xml:space="preserve">Pol. Ind. Las Viñas C/ Extremadura, 1</t>
  </si>
  <si>
    <t xml:space="preserve">MALAGON</t>
  </si>
  <si>
    <t xml:space="preserve">pedidos@versoni.com</t>
  </si>
  <si>
    <t xml:space="preserve">926800351</t>
  </si>
  <si>
    <t xml:space="preserve">4000000157</t>
  </si>
  <si>
    <t xml:space="preserve">marketing@sillabori.com / pedidos@versoni.com / pedidos@versoni.com</t>
  </si>
  <si>
    <t xml:space="preserve">__import__.res_partner_20000000158</t>
  </si>
  <si>
    <t xml:space="preserve">20000000158</t>
  </si>
  <si>
    <t xml:space="preserve">SOPORTES REPRODUCCION DIGITAL, S.L. (SOREDI)</t>
  </si>
  <si>
    <t xml:space="preserve">ESB84115294</t>
  </si>
  <si>
    <t xml:space="preserve">28938</t>
  </si>
  <si>
    <t xml:space="preserve">Avda. Cámara de Industria, 33</t>
  </si>
  <si>
    <t xml:space="preserve">91.647.06.59</t>
  </si>
  <si>
    <t xml:space="preserve">4000000158</t>
  </si>
  <si>
    <t xml:space="preserve">__import__.res_partner_20000000159</t>
  </si>
  <si>
    <t xml:space="preserve">20000000159</t>
  </si>
  <si>
    <t xml:space="preserve">ICT (INFORMÁTICA, CÁLCULO Y TÉCNICA)</t>
  </si>
  <si>
    <t xml:space="preserve">ESA28637502</t>
  </si>
  <si>
    <t xml:space="preserve">28006</t>
  </si>
  <si>
    <t xml:space="preserve">C/ Edison, 4 bajo C (Edif. Edison)</t>
  </si>
  <si>
    <t xml:space="preserve">91.564.20.95</t>
  </si>
  <si>
    <t xml:space="preserve">4000000159</t>
  </si>
  <si>
    <t xml:space="preserve">__import__.res_partner_20000000161</t>
  </si>
  <si>
    <t xml:space="preserve">20000000161</t>
  </si>
  <si>
    <t xml:space="preserve">P.I. RECORD TIME, S.L.</t>
  </si>
  <si>
    <t xml:space="preserve">ESB83061416</t>
  </si>
  <si>
    <t xml:space="preserve">28002</t>
  </si>
  <si>
    <t xml:space="preserve">Eugenio Salazar, 11</t>
  </si>
  <si>
    <t xml:space="preserve">marcello@carsanaservice.com</t>
  </si>
  <si>
    <t xml:space="preserve">91.415.25.29</t>
  </si>
  <si>
    <t xml:space="preserve">4000000161</t>
  </si>
  <si>
    <t xml:space="preserve">__import__.res_partner_20000000162</t>
  </si>
  <si>
    <t xml:space="preserve">20000000162</t>
  </si>
  <si>
    <t xml:space="preserve">HARTLEY &amp; MARKS PUBLISHERS, LTD.</t>
  </si>
  <si>
    <t xml:space="preserve">IE6404702M</t>
  </si>
  <si>
    <t xml:space="preserve">2-4 Ely Place</t>
  </si>
  <si>
    <t xml:space="preserve">DUBLIN</t>
  </si>
  <si>
    <t xml:space="preserve">IE</t>
  </si>
  <si>
    <t xml:space="preserve">susanayacaram@gmail.com</t>
  </si>
  <si>
    <t xml:space="preserve">00.800.3333.800</t>
  </si>
  <si>
    <t xml:space="preserve">PAPERBLANKS, HARTLEY &amp; MARKS PUBLISHERS, LTD.</t>
  </si>
  <si>
    <t xml:space="preserve">4000000162</t>
  </si>
  <si>
    <t xml:space="preserve">__import__.res_partner_20000000163</t>
  </si>
  <si>
    <t xml:space="preserve">20000000163</t>
  </si>
  <si>
    <t xml:space="preserve">NADAL 1987, S.L. (NADAL &amp; CO.)</t>
  </si>
  <si>
    <t xml:space="preserve">ESB61940375</t>
  </si>
  <si>
    <t xml:space="preserve">08005</t>
  </si>
  <si>
    <t xml:space="preserve">Pujades, 77-79  1ºD</t>
  </si>
  <si>
    <t xml:space="preserve">93.309.76.96</t>
  </si>
  <si>
    <t xml:space="preserve">4000000163</t>
  </si>
  <si>
    <t xml:space="preserve">__import__.res_partner_20000000165</t>
  </si>
  <si>
    <t xml:space="preserve">20000000165</t>
  </si>
  <si>
    <t xml:space="preserve">SENFORT, S.A.</t>
  </si>
  <si>
    <t xml:space="preserve">ESA08795809</t>
  </si>
  <si>
    <t xml:space="preserve">08340</t>
  </si>
  <si>
    <t xml:space="preserve">AVDA DEL PROGRES 12</t>
  </si>
  <si>
    <t xml:space="preserve">VILASSAR DE MAR</t>
  </si>
  <si>
    <t xml:space="preserve">937 537 955</t>
  </si>
  <si>
    <t xml:space="preserve">4000000165</t>
  </si>
  <si>
    <r>
      <rPr>
        <sz val="11"/>
        <color rgb="FF000000"/>
        <rFont val="Calibri"/>
        <family val="2"/>
        <charset val="1"/>
      </rPr>
      <t xml:space="preserve">DESCUENTO DISEÑO 25%
</t>
    </r>
    <r>
      <rPr>
        <sz val="10"/>
        <color rgb="FF000000"/>
        <rFont val="Arial"/>
        <family val="2"/>
        <charset val="1"/>
      </rPr>
      <t xml:space="preserve">RESTO 30%</t>
    </r>
  </si>
  <si>
    <t xml:space="preserve">__import__.res_partner_20000000166</t>
  </si>
  <si>
    <t xml:space="preserve">20000000166</t>
  </si>
  <si>
    <t xml:space="preserve">CHRONOEXPRES, S.A.</t>
  </si>
  <si>
    <t xml:space="preserve">ESA28799120</t>
  </si>
  <si>
    <t xml:space="preserve">C.T. Coslada  Avda. de Europa, 8</t>
  </si>
  <si>
    <t xml:space="preserve">91.660.24.00</t>
  </si>
  <si>
    <t xml:space="preserve">4000000166</t>
  </si>
  <si>
    <t xml:space="preserve">__import__.res_partner_20000000167</t>
  </si>
  <si>
    <t xml:space="preserve">20000000167</t>
  </si>
  <si>
    <t xml:space="preserve">L'OKURA T.R., S.L.</t>
  </si>
  <si>
    <t xml:space="preserve">ESB81348385</t>
  </si>
  <si>
    <t xml:space="preserve">28224</t>
  </si>
  <si>
    <t xml:space="preserve">Hnos. San Román, 18</t>
  </si>
  <si>
    <t xml:space="preserve">POZUELO</t>
  </si>
  <si>
    <t xml:space="preserve">91.715.38.58</t>
  </si>
  <si>
    <t xml:space="preserve">4000000167</t>
  </si>
  <si>
    <t xml:space="preserve">__import__.res_partner_20000000168</t>
  </si>
  <si>
    <t xml:space="preserve">20000000168</t>
  </si>
  <si>
    <t xml:space="preserve">HAPPY DAYS DISTRIBUCIONES, S.L.</t>
  </si>
  <si>
    <t xml:space="preserve">ESB96878806</t>
  </si>
  <si>
    <t xml:space="preserve">46980</t>
  </si>
  <si>
    <t xml:space="preserve">Ciudad de los negocios – Parque Empresarial  C/ Els Forners, 22</t>
  </si>
  <si>
    <t xml:space="preserve">PATERNA</t>
  </si>
  <si>
    <t xml:space="preserve">96.134.40.95</t>
  </si>
  <si>
    <t xml:space="preserve">4000000168</t>
  </si>
  <si>
    <t xml:space="preserve">__import__.res_partner_20000000169</t>
  </si>
  <si>
    <t xml:space="preserve">20000000169</t>
  </si>
  <si>
    <t xml:space="preserve">TECALSA</t>
  </si>
  <si>
    <t xml:space="preserve">ESA50055094</t>
  </si>
  <si>
    <t xml:space="preserve">50010</t>
  </si>
  <si>
    <t xml:space="preserve">Avda. Navarra, 52 1º B</t>
  </si>
  <si>
    <t xml:space="preserve">ZARAGOZA</t>
  </si>
  <si>
    <t xml:space="preserve">902116408</t>
  </si>
  <si>
    <t xml:space="preserve">4000000169</t>
  </si>
  <si>
    <t xml:space="preserve">__import__.res_partner_20000000170</t>
  </si>
  <si>
    <t xml:space="preserve">20000000170</t>
  </si>
  <si>
    <t xml:space="preserve">EDIGOL EDICIONES, S.A.</t>
  </si>
  <si>
    <t xml:space="preserve">ESA08794380</t>
  </si>
  <si>
    <t xml:space="preserve">08950</t>
  </si>
  <si>
    <t xml:space="preserve">C/ Sant Gabriel, 50</t>
  </si>
  <si>
    <t xml:space="preserve">Espluges de Llobregat</t>
  </si>
  <si>
    <t xml:space="preserve">informacion@edigol.com</t>
  </si>
  <si>
    <t xml:space="preserve">93.372.63.04</t>
  </si>
  <si>
    <t xml:space="preserve">4000000170</t>
  </si>
  <si>
    <t xml:space="preserve">__import__.res_partner_20000000171</t>
  </si>
  <si>
    <t xml:space="preserve">20000000171</t>
  </si>
  <si>
    <t xml:space="preserve">EXCOM GRUPO BDI, S.L. (NEO-TEC)</t>
  </si>
  <si>
    <t xml:space="preserve">ESB64217888</t>
  </si>
  <si>
    <t xml:space="preserve">Pasaje Mercuri, nave 11</t>
  </si>
  <si>
    <t xml:space="preserve">Cornellá de Llobregat</t>
  </si>
  <si>
    <t xml:space="preserve">93.474.32.84</t>
  </si>
  <si>
    <t xml:space="preserve">4000000171</t>
  </si>
  <si>
    <t xml:space="preserve">__import__.res_partner_20000000172</t>
  </si>
  <si>
    <t xml:space="preserve">20000000172</t>
  </si>
  <si>
    <t xml:space="preserve">DEPESCHE ESPAÑA</t>
  </si>
  <si>
    <t xml:space="preserve">ESW0043431F</t>
  </si>
  <si>
    <t xml:space="preserve">08021</t>
  </si>
  <si>
    <t xml:space="preserve">PLATO, 6  1º 3ª</t>
  </si>
  <si>
    <t xml:space="preserve">office.es@depesche.com</t>
  </si>
  <si>
    <t xml:space="preserve">931 807 327</t>
  </si>
  <si>
    <t xml:space="preserve">4000000172</t>
  </si>
  <si>
    <t xml:space="preserve">__import__.res_partner_20000000173</t>
  </si>
  <si>
    <t xml:space="preserve">20000000173</t>
  </si>
  <si>
    <t xml:space="preserve">NINGBO BEIFA GROUP, S.A.</t>
  </si>
  <si>
    <t xml:space="preserve">ESA84525005</t>
  </si>
  <si>
    <t xml:space="preserve">Cabo de Ortegal, 5 (La Poveda)</t>
  </si>
  <si>
    <t xml:space="preserve">Arganda del Rey</t>
  </si>
  <si>
    <t xml:space="preserve">91.871.06.03</t>
  </si>
  <si>
    <t xml:space="preserve">4000000173</t>
  </si>
  <si>
    <t xml:space="preserve">__import__.res_partner_20000000174</t>
  </si>
  <si>
    <t xml:space="preserve">20000000174</t>
  </si>
  <si>
    <t xml:space="preserve">PLAN B ESPAÑA REGALOS, S.L.</t>
  </si>
  <si>
    <t xml:space="preserve">ESB64253206</t>
  </si>
  <si>
    <t xml:space="preserve">C/ Ramón Albó, 26 bajos</t>
  </si>
  <si>
    <t xml:space="preserve">93.349.81.63</t>
  </si>
  <si>
    <t xml:space="preserve">4000000174</t>
  </si>
  <si>
    <t xml:space="preserve">__import__.res_partner_20000000175</t>
  </si>
  <si>
    <t xml:space="preserve">20000000175</t>
  </si>
  <si>
    <t xml:space="preserve">TALLERES TEXBA, S.L.</t>
  </si>
  <si>
    <t xml:space="preserve">ESB60808136</t>
  </si>
  <si>
    <t xml:space="preserve">08185</t>
  </si>
  <si>
    <t xml:space="preserve">Carrer Lleida, 12  Naves A y B  Pol. Ind. El Pla</t>
  </si>
  <si>
    <t xml:space="preserve">Lliça de Vall</t>
  </si>
  <si>
    <t xml:space="preserve">93.843.60.80</t>
  </si>
  <si>
    <t xml:space="preserve">4000000175</t>
  </si>
  <si>
    <t xml:space="preserve">__import__.res_partner_20000000176</t>
  </si>
  <si>
    <t xml:space="preserve">20000000176</t>
  </si>
  <si>
    <t xml:space="preserve">GUARRO &amp; CANSON, S.L.</t>
  </si>
  <si>
    <t xml:space="preserve">ESB64503410</t>
  </si>
  <si>
    <t xml:space="preserve">08790</t>
  </si>
  <si>
    <t xml:space="preserve">CAN GUARRO, S/N</t>
  </si>
  <si>
    <t xml:space="preserve">GELIDA</t>
  </si>
  <si>
    <t xml:space="preserve">93 776 76 60</t>
  </si>
  <si>
    <t xml:space="preserve">4000000176</t>
  </si>
  <si>
    <t xml:space="preserve">__import__.res_partner_20000000177</t>
  </si>
  <si>
    <t xml:space="preserve">20000000177</t>
  </si>
  <si>
    <t xml:space="preserve">T.T.I. INTERNACIONAL</t>
  </si>
  <si>
    <t xml:space="preserve">ESB60648326</t>
  </si>
  <si>
    <t xml:space="preserve">C/ Can Cuyás, 9   Pol. Ind. Can Cuyás</t>
  </si>
  <si>
    <t xml:space="preserve">93.350.68.62</t>
  </si>
  <si>
    <t xml:space="preserve">4000000177</t>
  </si>
  <si>
    <t xml:space="preserve">__import__.res_partner_20000000178</t>
  </si>
  <si>
    <t xml:space="preserve">20000000178</t>
  </si>
  <si>
    <t xml:space="preserve">BUROTÉCNICA ALEMANA, S.L.</t>
  </si>
  <si>
    <t xml:space="preserve">ESB58219478</t>
  </si>
  <si>
    <t xml:space="preserve">Fontsanta Jacinto Verdaguer, 70</t>
  </si>
  <si>
    <t xml:space="preserve">Sant Joan Despí</t>
  </si>
  <si>
    <t xml:space="preserve">93.477.02.31</t>
  </si>
  <si>
    <t xml:space="preserve">4000000178</t>
  </si>
  <si>
    <t xml:space="preserve">__import__.res_partner_20000000179</t>
  </si>
  <si>
    <t xml:space="preserve">20000000179</t>
  </si>
  <si>
    <t xml:space="preserve">HALLMARK CARDS (ALBINI ARGIA, S.A.)</t>
  </si>
  <si>
    <t xml:space="preserve">ESA08993735</t>
  </si>
  <si>
    <t xml:space="preserve">08009</t>
  </si>
  <si>
    <t xml:space="preserve">C/ Aragón, 295, 7ª pl.</t>
  </si>
  <si>
    <t xml:space="preserve">rfugueiredo@albiniargia.es</t>
  </si>
  <si>
    <t xml:space="preserve">93.412.53.97</t>
  </si>
  <si>
    <t xml:space="preserve">4000000179</t>
  </si>
  <si>
    <t xml:space="preserve">__import__.res_partner_20000000180</t>
  </si>
  <si>
    <t xml:space="preserve">20000000180</t>
  </si>
  <si>
    <t xml:space="preserve">VINZEO INFORMATICA, S.L.</t>
  </si>
  <si>
    <t xml:space="preserve">ESB79484564</t>
  </si>
  <si>
    <t xml:space="preserve">28108</t>
  </si>
  <si>
    <t xml:space="preserve">Avda. Bruselas, 38 - Edificio Arroyo, portal A - 2º</t>
  </si>
  <si>
    <t xml:space="preserve">ALCOBENDAS</t>
  </si>
  <si>
    <t xml:space="preserve">raranda@vinzeoit.com</t>
  </si>
  <si>
    <t xml:space="preserve">902220032/97613</t>
  </si>
  <si>
    <t xml:space="preserve">4000000180</t>
  </si>
  <si>
    <t xml:space="preserve">__import__.res_partner_20000000181</t>
  </si>
  <si>
    <t xml:space="preserve">20000000181</t>
  </si>
  <si>
    <t xml:space="preserve">C.JOSEF LAMY GMBH</t>
  </si>
  <si>
    <t xml:space="preserve">DE143448189</t>
  </si>
  <si>
    <t xml:space="preserve">69123</t>
  </si>
  <si>
    <t xml:space="preserve">GRENZHOFER WEG 32</t>
  </si>
  <si>
    <t xml:space="preserve">HEIDELBERG</t>
  </si>
  <si>
    <t xml:space="preserve">DE</t>
  </si>
  <si>
    <t xml:space="preserve">91.486.47.62</t>
  </si>
  <si>
    <t xml:space="preserve">LAMY</t>
  </si>
  <si>
    <t xml:space="preserve">4000000181</t>
  </si>
  <si>
    <t xml:space="preserve">__import__.res_partner_20000000182</t>
  </si>
  <si>
    <t xml:space="preserve">20000000182</t>
  </si>
  <si>
    <t xml:space="preserve">SEVEN SPAIN, S.A.</t>
  </si>
  <si>
    <t xml:space="preserve">ESA58787391</t>
  </si>
  <si>
    <t xml:space="preserve">Comte d'Urgell, 240-250, 2ºD</t>
  </si>
  <si>
    <t xml:space="preserve">jcanosa@telefonica.net</t>
  </si>
  <si>
    <t xml:space="preserve">93.544.67.70</t>
  </si>
  <si>
    <t xml:space="preserve">4000000182</t>
  </si>
  <si>
    <t xml:space="preserve">__import__.res_partner_20000000183</t>
  </si>
  <si>
    <t xml:space="preserve">20000000183</t>
  </si>
  <si>
    <t xml:space="preserve">BUSQUETS GRUART, S.A.</t>
  </si>
  <si>
    <t xml:space="preserve">ESA08202996</t>
  </si>
  <si>
    <t xml:space="preserve">08192</t>
  </si>
  <si>
    <t xml:space="preserve">Can Torras-Maria Cubí i Soler, 21</t>
  </si>
  <si>
    <t xml:space="preserve">St. Quirze del Vallés</t>
  </si>
  <si>
    <t xml:space="preserve">937104100</t>
  </si>
  <si>
    <t xml:space="preserve">4000000183</t>
  </si>
  <si>
    <t xml:space="preserve">__import__.res_partner_20000000186</t>
  </si>
  <si>
    <t xml:space="preserve">20000000186</t>
  </si>
  <si>
    <t xml:space="preserve">GRUPO KIDER</t>
  </si>
  <si>
    <t xml:space="preserve">ESA01038207</t>
  </si>
  <si>
    <t xml:space="preserve">28016</t>
  </si>
  <si>
    <t xml:space="preserve">C/ Federico Salmón, 8</t>
  </si>
  <si>
    <t xml:space="preserve">91.350.41.33</t>
  </si>
  <si>
    <t xml:space="preserve">4000000186</t>
  </si>
  <si>
    <t xml:space="preserve">__import__.res_partner_20000000187</t>
  </si>
  <si>
    <t xml:space="preserve">20000000187</t>
  </si>
  <si>
    <t xml:space="preserve">MACMA IBERIA, S.L.</t>
  </si>
  <si>
    <t xml:space="preserve">ESB84141688</t>
  </si>
  <si>
    <t xml:space="preserve">28850</t>
  </si>
  <si>
    <t xml:space="preserve">C/ Polo Sur, 10</t>
  </si>
  <si>
    <t xml:space="preserve">Torrejón de Ardoz</t>
  </si>
  <si>
    <t xml:space="preserve">91.659.00.72</t>
  </si>
  <si>
    <t xml:space="preserve">4000000187</t>
  </si>
  <si>
    <t xml:space="preserve">__import__.res_partner_20000000188</t>
  </si>
  <si>
    <t xml:space="preserve">20000000188</t>
  </si>
  <si>
    <t xml:space="preserve">COMERCIAL DEL SUR DE PAPELERIA, S.L.</t>
  </si>
  <si>
    <t xml:space="preserve">ESB92969757</t>
  </si>
  <si>
    <t xml:space="preserve">29006</t>
  </si>
  <si>
    <t xml:space="preserve">Bodegueros, 54-56</t>
  </si>
  <si>
    <t xml:space="preserve">MALAGA</t>
  </si>
  <si>
    <t xml:space="preserve">d.regueira@liderpapel.com</t>
  </si>
  <si>
    <t xml:space="preserve">952 322 804</t>
  </si>
  <si>
    <t xml:space="preserve">75 DIAS</t>
  </si>
  <si>
    <t xml:space="preserve">4000000188</t>
  </si>
  <si>
    <t xml:space="preserve">r.regueira@liderpapel.com
24696
Dous.2011
RAPPEL - 002CA/CSP (1K)
BONF. PROD.LIDERPAPEL - 0022
</t>
  </si>
  <si>
    <t xml:space="preserve">__import__.res_partner_20000000189</t>
  </si>
  <si>
    <t xml:space="preserve">20000000189</t>
  </si>
  <si>
    <t xml:space="preserve">ORIGINAL PAPER, S.L.</t>
  </si>
  <si>
    <t xml:space="preserve">ESB85582682</t>
  </si>
  <si>
    <t xml:space="preserve">28340</t>
  </si>
  <si>
    <t xml:space="preserve">La Postura Avda. Morcilleras, 15</t>
  </si>
  <si>
    <t xml:space="preserve">VALDEMORO</t>
  </si>
  <si>
    <t xml:space="preserve">91.895.28.00</t>
  </si>
  <si>
    <t xml:space="preserve">4000000189</t>
  </si>
  <si>
    <t xml:space="preserve">__import__.res_partner_20000000190</t>
  </si>
  <si>
    <t xml:space="preserve">20000000190</t>
  </si>
  <si>
    <t xml:space="preserve">BANOFI, S.L.</t>
  </si>
  <si>
    <t xml:space="preserve">ESB96316864</t>
  </si>
  <si>
    <t xml:space="preserve">46023</t>
  </si>
  <si>
    <t xml:space="preserve">Avda. del Puerto, 228</t>
  </si>
  <si>
    <t xml:space="preserve">VALENCIA</t>
  </si>
  <si>
    <t xml:space="preserve">pablobasterra@banofi.com</t>
  </si>
  <si>
    <t xml:space="preserve">96.330.55.44</t>
  </si>
  <si>
    <t xml:space="preserve">4000000190</t>
  </si>
  <si>
    <t xml:space="preserve">movil 608860728</t>
  </si>
  <si>
    <t xml:space="preserve">__import__.res_partner_20000000191</t>
  </si>
  <si>
    <t xml:space="preserve">20000000191</t>
  </si>
  <si>
    <t xml:space="preserve">ARCAS OLLE, S.L.</t>
  </si>
  <si>
    <t xml:space="preserve">ESB64402886</t>
  </si>
  <si>
    <t xml:space="preserve">08787</t>
  </si>
  <si>
    <t xml:space="preserve">Pol. Ind. Els Plans d'Arau   C/ Alessandro Volta parc. 49</t>
  </si>
  <si>
    <t xml:space="preserve">La Pobla de Claramunt</t>
  </si>
  <si>
    <t xml:space="preserve">info@arcasolle.com</t>
  </si>
  <si>
    <t xml:space="preserve">93.805.05.00</t>
  </si>
  <si>
    <t xml:space="preserve">4000000191</t>
  </si>
  <si>
    <t xml:space="preserve">__import__.res_partner_20000000193</t>
  </si>
  <si>
    <t xml:space="preserve">20000000193</t>
  </si>
  <si>
    <t xml:space="preserve">MANUFACTURAS YBARRA, S.L.</t>
  </si>
  <si>
    <t xml:space="preserve">ESB28375996</t>
  </si>
  <si>
    <t xml:space="preserve">4000000193</t>
  </si>
  <si>
    <t xml:space="preserve">__import__.res_partner_20000000194</t>
  </si>
  <si>
    <t xml:space="preserve">20000000194</t>
  </si>
  <si>
    <t xml:space="preserve">CIRKUIT PLANET ESPAÑA, S.L.</t>
  </si>
  <si>
    <t xml:space="preserve">ESB97633193</t>
  </si>
  <si>
    <t xml:space="preserve">46139</t>
  </si>
  <si>
    <t xml:space="preserve">Avda. Aragón, 5. Polígono Industrial</t>
  </si>
  <si>
    <t xml:space="preserve">La Pobla de Farnals</t>
  </si>
  <si>
    <t xml:space="preserve">96.141.26.95</t>
  </si>
  <si>
    <t xml:space="preserve">4000000194</t>
  </si>
  <si>
    <t xml:space="preserve">__import__.res_partner_20000000195</t>
  </si>
  <si>
    <t xml:space="preserve">20000000195</t>
  </si>
  <si>
    <t xml:space="preserve">TRIPLEQ, S.A.</t>
  </si>
  <si>
    <t xml:space="preserve">ESA80763956</t>
  </si>
  <si>
    <t xml:space="preserve">Pasaje del Bronce, 2 Poligono Industrial Finanzauto</t>
  </si>
  <si>
    <t xml:space="preserve">91.871.55.47</t>
  </si>
  <si>
    <t xml:space="preserve">4000000195</t>
  </si>
  <si>
    <t xml:space="preserve">__import__.res_partner_20000000196</t>
  </si>
  <si>
    <t xml:space="preserve">20000000196</t>
  </si>
  <si>
    <t xml:space="preserve">EUROCINSA, EUROPEA DE CINTAS, S.R.L.</t>
  </si>
  <si>
    <t xml:space="preserve">ESB48179907</t>
  </si>
  <si>
    <t xml:space="preserve">48150</t>
  </si>
  <si>
    <t xml:space="preserve">Pol. Ind. Sangroniz, 32</t>
  </si>
  <si>
    <t xml:space="preserve">Sondica</t>
  </si>
  <si>
    <t xml:space="preserve">94.471.11.77</t>
  </si>
  <si>
    <t xml:space="preserve">4000000196</t>
  </si>
  <si>
    <t xml:space="preserve">__import__.res_partner_20000000197</t>
  </si>
  <si>
    <t xml:space="preserve">20000000197</t>
  </si>
  <si>
    <t xml:space="preserve">HOFMANN, S.L.</t>
  </si>
  <si>
    <t xml:space="preserve">ESB46047502</t>
  </si>
  <si>
    <t xml:space="preserve">46988</t>
  </si>
  <si>
    <t xml:space="preserve">C/ Ciudad de Barcelona, 18 Pol. Ind. Fuente del Jarro</t>
  </si>
  <si>
    <t xml:space="preserve">Paterna</t>
  </si>
  <si>
    <t xml:space="preserve">96.134.32.00</t>
  </si>
  <si>
    <t xml:space="preserve">4000000197</t>
  </si>
  <si>
    <t xml:space="preserve">__import__.res_partner_20000000198</t>
  </si>
  <si>
    <t xml:space="preserve">20000000198</t>
  </si>
  <si>
    <t xml:space="preserve">ROCADA, S.L.</t>
  </si>
  <si>
    <t xml:space="preserve">ESB59200089</t>
  </si>
  <si>
    <t xml:space="preserve">08552</t>
  </si>
  <si>
    <t xml:space="preserve">Moreres, s/n</t>
  </si>
  <si>
    <t xml:space="preserve">Taradell</t>
  </si>
  <si>
    <t xml:space="preserve">93.880.00.04</t>
  </si>
  <si>
    <t xml:space="preserve">4000000198</t>
  </si>
  <si>
    <t xml:space="preserve">USUARIO: CARLIN@DOUSTRAZOS.COM
CONTRASEÑA: B36554327
Plazo entrega aprox 48h
</t>
  </si>
  <si>
    <t xml:space="preserve">__import__.res_partner_20000000199</t>
  </si>
  <si>
    <t xml:space="preserve">20000000199</t>
  </si>
  <si>
    <t xml:space="preserve">CAMOMILLA MILANO, S.L.U.</t>
  </si>
  <si>
    <t xml:space="preserve">ESB85943033</t>
  </si>
  <si>
    <t xml:space="preserve">C/ Velázquez, 150</t>
  </si>
  <si>
    <t xml:space="preserve">91.563.64.51</t>
  </si>
  <si>
    <t xml:space="preserve">4000000199</t>
  </si>
  <si>
    <t xml:space="preserve">__import__.res_partner_20000000200</t>
  </si>
  <si>
    <t xml:space="preserve">20000000200</t>
  </si>
  <si>
    <t xml:space="preserve">NIEFENVER IBERICA, S.L.</t>
  </si>
  <si>
    <t xml:space="preserve">ESB85406296</t>
  </si>
  <si>
    <t xml:space="preserve">Apto. de Correos, 102 C/ José Cadalso, 25</t>
  </si>
  <si>
    <t xml:space="preserve">criser@cialcriser.com</t>
  </si>
  <si>
    <t xml:space="preserve">902.87.54.55</t>
  </si>
  <si>
    <t xml:space="preserve">4000000200</t>
  </si>
  <si>
    <t xml:space="preserve">__import__.res_partner_20000000201</t>
  </si>
  <si>
    <t xml:space="preserve">20000000201</t>
  </si>
  <si>
    <t xml:space="preserve">ESPRINET IBERICA, S.L.</t>
  </si>
  <si>
    <t xml:space="preserve">ESB84443985</t>
  </si>
  <si>
    <t xml:space="preserve">50197</t>
  </si>
  <si>
    <t xml:space="preserve">Campus 3·84 - Nave 1  Calle Osca, 2 Pol. PLAZA</t>
  </si>
  <si>
    <t xml:space="preserve">Zaragoza</t>
  </si>
  <si>
    <t xml:space="preserve">Ruth.Pardo@esprinet.com</t>
  </si>
  <si>
    <t xml:space="preserve">976.971.244</t>
  </si>
  <si>
    <t xml:space="preserve">4000000201</t>
  </si>
  <si>
    <r>
      <rPr>
        <sz val="11"/>
        <color rgb="FF000000"/>
        <rFont val="Calibri"/>
        <family val="2"/>
        <charset val="1"/>
      </rPr>
      <t xml:space="preserve">USUARIO: 0504223001
</t>
    </r>
    <r>
      <rPr>
        <sz val="10"/>
        <color rgb="FF000000"/>
        <rFont val="Arial"/>
        <family val="2"/>
        <charset val="1"/>
      </rPr>
      <t xml:space="preserve">CHAVE: $Dous2011
INCIDENCIA DE SAFESCAN, SE TRAMITAN DESDE LA WEB DE SAFESCAN, contabilidade@... contraseña #Dous.2011</t>
    </r>
  </si>
  <si>
    <t xml:space="preserve">__import__.res_partner_20000000202</t>
  </si>
  <si>
    <t xml:space="preserve">20000000202</t>
  </si>
  <si>
    <t xml:space="preserve">A.T.CROSS LIMITED CROSS HOUSE </t>
  </si>
  <si>
    <t xml:space="preserve">ESN0067951D</t>
  </si>
  <si>
    <t xml:space="preserve">UNIT 14 WINDMILL TRADING ESTATE THISTLE ROAD LUTON LU1 3XJ </t>
  </si>
  <si>
    <t xml:space="preserve">ENGLAND </t>
  </si>
  <si>
    <t xml:space="preserve">91.808.46.25</t>
  </si>
  <si>
    <t xml:space="preserve">120 DIAS</t>
  </si>
  <si>
    <t xml:space="preserve">CROSS &amp; FRANKLIN COVEY</t>
  </si>
  <si>
    <t xml:space="preserve">4000000202</t>
  </si>
  <si>
    <r>
      <rPr>
        <sz val="11"/>
        <color rgb="FF000000"/>
        <rFont val="Calibri"/>
        <family val="2"/>
        <charset val="1"/>
      </rPr>
      <t xml:space="preserve">AT.CROSS REP.ESPAÑA 
</t>
    </r>
    <r>
      <rPr>
        <sz val="10"/>
        <color rgb="FF000000"/>
        <rFont val="Arial"/>
        <family val="2"/>
        <charset val="1"/>
      </rPr>
      <t xml:space="preserve">PASEO DE LA CASTELLANA 143 11 DRCHA.28046 ( MADRID) </t>
    </r>
  </si>
  <si>
    <t xml:space="preserve">__import__.res_partner_20000000203</t>
  </si>
  <si>
    <t xml:space="preserve">20000000203</t>
  </si>
  <si>
    <t xml:space="preserve">HAMELIN BRANDS, S.L.U.</t>
  </si>
  <si>
    <t xml:space="preserve">ESB64271281</t>
  </si>
  <si>
    <t xml:space="preserve">Crta. Comarcal 66, Km. 22,8</t>
  </si>
  <si>
    <t xml:space="preserve">FLAÇA</t>
  </si>
  <si>
    <t xml:space="preserve">tomas.fernandez@hamelinbrands.com</t>
  </si>
  <si>
    <t xml:space="preserve">4000000203</t>
  </si>
  <si>
    <t xml:space="preserve">CESAR.ANTUNES@HAMELINBRANDS.COM
INCIDENCIAS A: MARGARITA.BOX@HAMELINBRANDS.COM
tomas.fernandez@hamelinbrands.com
jose-antonio.magarinos@hamelinbrands.com
</t>
  </si>
  <si>
    <t xml:space="preserve">__import__.res_partner_20000000204</t>
  </si>
  <si>
    <t xml:space="preserve">20000000204</t>
  </si>
  <si>
    <t xml:space="preserve">LADO TÉCNICAS EDUCATIVAS, S.A.</t>
  </si>
  <si>
    <t xml:space="preserve">ESA78768058</t>
  </si>
  <si>
    <t xml:space="preserve">28916</t>
  </si>
  <si>
    <t xml:space="preserve">Ctra. Madrid a Toledo, Km. 7,3</t>
  </si>
  <si>
    <t xml:space="preserve">91.341.82.77</t>
  </si>
  <si>
    <t xml:space="preserve">4000000204</t>
  </si>
  <si>
    <t xml:space="preserve">__import__.res_partner_20000000205</t>
  </si>
  <si>
    <t xml:space="preserve">20000000205</t>
  </si>
  <si>
    <t xml:space="preserve">EDICIONES ADDITIO, S.L.</t>
  </si>
  <si>
    <t xml:space="preserve">ESB17667643</t>
  </si>
  <si>
    <t xml:space="preserve">17007</t>
  </si>
  <si>
    <t xml:space="preserve">Bescanó, 10 Pol. Ind. Domeny</t>
  </si>
  <si>
    <t xml:space="preserve">GIRONA</t>
  </si>
  <si>
    <t xml:space="preserve">additio@additio.com</t>
  </si>
  <si>
    <t xml:space="preserve">972.22.73.01</t>
  </si>
  <si>
    <t xml:space="preserve">4000000205</t>
  </si>
  <si>
    <t xml:space="preserve">__import__.res_partner_20000000206</t>
  </si>
  <si>
    <t xml:space="preserve">20000000206</t>
  </si>
  <si>
    <t xml:space="preserve">S.A. DE TALLERES DE MANIPULACION DE PAPEL</t>
  </si>
  <si>
    <t xml:space="preserve">ESA20504890</t>
  </si>
  <si>
    <t xml:space="preserve">28043</t>
  </si>
  <si>
    <t xml:space="preserve">Emilio Vargas, 18 - Escalera 2, 1ºA</t>
  </si>
  <si>
    <t xml:space="preserve">dlg.galicia@sam-manipulados.com</t>
  </si>
  <si>
    <t xml:space="preserve">914 151 004</t>
  </si>
  <si>
    <t xml:space="preserve">SAM</t>
  </si>
  <si>
    <t xml:space="preserve">4000000206</t>
  </si>
  <si>
    <r>
      <rPr>
        <sz val="11"/>
        <color rgb="FF000000"/>
        <rFont val="Calibri"/>
        <family val="2"/>
        <charset val="1"/>
      </rPr>
      <t xml:space="preserve">dlgvigo@sam-sobres.com
</t>
    </r>
    <r>
      <rPr>
        <sz val="10"/>
        <color rgb="FF000000"/>
        <rFont val="Arial"/>
        <family val="2"/>
        <charset val="1"/>
      </rPr>
      <t xml:space="preserve">DLG.CENTRO@SAM-MANIPULADOS.COM</t>
    </r>
  </si>
  <si>
    <t xml:space="preserve">__import__.res_partner_20000000209</t>
  </si>
  <si>
    <t xml:space="preserve">20000000209</t>
  </si>
  <si>
    <t xml:space="preserve">INDUSTRIAS TAGAR S.A.</t>
  </si>
  <si>
    <t xml:space="preserve">ESA19011626</t>
  </si>
  <si>
    <t xml:space="preserve">19004</t>
  </si>
  <si>
    <t xml:space="preserve">AMP.POL. HENARES AVDA ROANNE PARCELA 69-70</t>
  </si>
  <si>
    <t xml:space="preserve">GUADALAJARA</t>
  </si>
  <si>
    <t xml:space="preserve">comercial@tagar.es</t>
  </si>
  <si>
    <t xml:space="preserve">949247780</t>
  </si>
  <si>
    <t xml:space="preserve">TAGAR</t>
  </si>
  <si>
    <t xml:space="preserve">4000000209</t>
  </si>
  <si>
    <t xml:space="preserve">27/02/23: No hay pedido mínimo si viene con el camión que pasa cada tres o cuatro semanas. Si lo queremos antes, cobrarían los portes que cobre la agencia. Dto. 45%</t>
  </si>
  <si>
    <t xml:space="preserve">__import__.res_partner_20000000219</t>
  </si>
  <si>
    <t xml:space="preserve">20000000219</t>
  </si>
  <si>
    <t xml:space="preserve">PIQUERAS Y CRESPO S.L.</t>
  </si>
  <si>
    <t xml:space="preserve">ESB02220333</t>
  </si>
  <si>
    <t xml:space="preserve">02004</t>
  </si>
  <si>
    <t xml:space="preserve">BLASCO IBAÑEZ Nº 17</t>
  </si>
  <si>
    <t xml:space="preserve">francisco@piquerasycrespo.es</t>
  </si>
  <si>
    <t xml:space="preserve">967 211 317</t>
  </si>
  <si>
    <t xml:space="preserve">PIQUERAS Y CRESPO</t>
  </si>
  <si>
    <t xml:space="preserve">4000000219</t>
  </si>
  <si>
    <t xml:space="preserve">MARIA@DOUSTRAZOS.COM
PYC2016</t>
  </si>
  <si>
    <t xml:space="preserve">__import__.res_partner_20000000221</t>
  </si>
  <si>
    <t xml:space="preserve">20000000221</t>
  </si>
  <si>
    <t xml:space="preserve">IBERPAPEL ON LINE S.L.</t>
  </si>
  <si>
    <t xml:space="preserve">ESB75029827</t>
  </si>
  <si>
    <t xml:space="preserve">20010</t>
  </si>
  <si>
    <t xml:space="preserve">AVDA SANCHO EL SABIO Nº 2</t>
  </si>
  <si>
    <t xml:space="preserve">DONOSTIA</t>
  </si>
  <si>
    <t xml:space="preserve">iberpapelonline@iberpapel.es</t>
  </si>
  <si>
    <t xml:space="preserve">943 46 26 00</t>
  </si>
  <si>
    <t xml:space="preserve">ZICUÑAGA</t>
  </si>
  <si>
    <t xml:space="preserve">4000000221</t>
  </si>
  <si>
    <t xml:space="preserve">__import__.res_partner_20000000225</t>
  </si>
  <si>
    <t xml:space="preserve">20000000225</t>
  </si>
  <si>
    <t xml:space="preserve">CARLOS GROLLO S.A.</t>
  </si>
  <si>
    <t xml:space="preserve">ESA46103800</t>
  </si>
  <si>
    <t xml:space="preserve">46940</t>
  </si>
  <si>
    <t xml:space="preserve">C/ AVIACION Nº 54 (APARTADO DE CORREOS 83)</t>
  </si>
  <si>
    <t xml:space="preserve">MANISES</t>
  </si>
  <si>
    <t xml:space="preserve">96 154 51 66</t>
  </si>
  <si>
    <t xml:space="preserve"> PINTURAS LA PAJARITA</t>
  </si>
  <si>
    <t xml:space="preserve">4000000225</t>
  </si>
  <si>
    <t xml:space="preserve">__import__.res_partner_20000000228</t>
  </si>
  <si>
    <t xml:space="preserve">20000000228</t>
  </si>
  <si>
    <t xml:space="preserve">BUNZL DISTRIBUTION SPAIN, S.A.</t>
  </si>
  <si>
    <t xml:space="preserve">08830</t>
  </si>
  <si>
    <t xml:space="preserve">FILATS, 8</t>
  </si>
  <si>
    <t xml:space="preserve">POL. IND. PROLOGIS PARK</t>
  </si>
  <si>
    <t xml:space="preserve">SANT BOI DE LLOBREGAT</t>
  </si>
  <si>
    <t xml:space="preserve">customer1@bunzlspain.com</t>
  </si>
  <si>
    <t xml:space="preserve">933 072 728</t>
  </si>
  <si>
    <t xml:space="preserve">BSABESBBXXX</t>
  </si>
  <si>
    <t xml:space="preserve">ES7300810533990001231429</t>
  </si>
  <si>
    <t xml:space="preserve">4000000228</t>
  </si>
  <si>
    <t xml:space="preserve">16/03/2023: Si necesitamos completar un pedido podemos pedir las referencias: 15233 y 15134
https://www.bunzlspain.com/
clientes@trazos.one
@1qaz2wsX
CÓDIGO CLIENTE: 77321
27/02/23: Si no llegamos al mínimo para portes pagados, el cargo en portes es de 12€
</t>
  </si>
  <si>
    <t xml:space="preserve">__import__.res_partner_20000000229</t>
  </si>
  <si>
    <t xml:space="preserve">20000000229</t>
  </si>
  <si>
    <t xml:space="preserve">PENTAGRAMA IDEAS, S.L.</t>
  </si>
  <si>
    <t xml:space="preserve">ESB83772962</t>
  </si>
  <si>
    <t xml:space="preserve">C/ Sorzano, 23  1ºA</t>
  </si>
  <si>
    <t xml:space="preserve">91.416.51.78</t>
  </si>
  <si>
    <t xml:space="preserve">4000000229</t>
  </si>
  <si>
    <t xml:space="preserve">__import__.res_partner_20000000230</t>
  </si>
  <si>
    <t xml:space="preserve">20000000230</t>
  </si>
  <si>
    <t xml:space="preserve">PD STATIONERY PAPER, S.L.</t>
  </si>
  <si>
    <t xml:space="preserve">ESB65555054</t>
  </si>
  <si>
    <t xml:space="preserve">08011</t>
  </si>
  <si>
    <t xml:space="preserve">Casanova, 81  1º1ª</t>
  </si>
  <si>
    <t xml:space="preserve">93.454.66.11</t>
  </si>
  <si>
    <t xml:space="preserve">TALON</t>
  </si>
  <si>
    <t xml:space="preserve">4000000230</t>
  </si>
  <si>
    <t xml:space="preserve">__import__.res_partner_20000000231</t>
  </si>
  <si>
    <t xml:space="preserve">20000000231</t>
  </si>
  <si>
    <t xml:space="preserve">NADAL ARCADA, S.L.</t>
  </si>
  <si>
    <t xml:space="preserve">ESB43619436</t>
  </si>
  <si>
    <t xml:space="preserve">43800</t>
  </si>
  <si>
    <t xml:space="preserve">Pol. Ind. C/ Fusters, 61</t>
  </si>
  <si>
    <t xml:space="preserve">VALLS</t>
  </si>
  <si>
    <t xml:space="preserve">902.180.202</t>
  </si>
  <si>
    <t xml:space="preserve">4000000231</t>
  </si>
  <si>
    <t xml:space="preserve">__import__.res_partner_20000000233</t>
  </si>
  <si>
    <t xml:space="preserve">20000000233</t>
  </si>
  <si>
    <t xml:space="preserve">SCIENCE FOR YOU, S.L.</t>
  </si>
  <si>
    <t xml:space="preserve">ESB86222395</t>
  </si>
  <si>
    <t xml:space="preserve">28760</t>
  </si>
  <si>
    <t xml:space="preserve">Parque Científico de Madrid  C/ Santiago Grisolia, 2</t>
  </si>
  <si>
    <t xml:space="preserve">TRES CANTOS</t>
  </si>
  <si>
    <t xml:space="preserve">91.279.63.42</t>
  </si>
  <si>
    <t xml:space="preserve">4000000233</t>
  </si>
  <si>
    <t xml:space="preserve">__import__.res_partner_20000000234</t>
  </si>
  <si>
    <t xml:space="preserve">20000000234</t>
  </si>
  <si>
    <t xml:space="preserve">SOLUCIONES DE PROTECCION LIDER, S.L. (SPL)</t>
  </si>
  <si>
    <t xml:space="preserve">ESB20691416</t>
  </si>
  <si>
    <t xml:space="preserve">28802</t>
  </si>
  <si>
    <t xml:space="preserve">C/ Rumanía, 5  Nave C-7 Pol. Inbisa</t>
  </si>
  <si>
    <t xml:space="preserve">91.883.89.11</t>
  </si>
  <si>
    <t xml:space="preserve">4000000234</t>
  </si>
  <si>
    <t xml:space="preserve">__import__.res_partner_20000000235</t>
  </si>
  <si>
    <t xml:space="preserve">20000000235</t>
  </si>
  <si>
    <t xml:space="preserve">SOGESPAPER, S.L. (SPAPER)</t>
  </si>
  <si>
    <t xml:space="preserve">ESB70033501</t>
  </si>
  <si>
    <t xml:space="preserve">15165</t>
  </si>
  <si>
    <t xml:space="preserve">Pol. Ind. Bergondo C/ Cortiñán, D-16</t>
  </si>
  <si>
    <t xml:space="preserve">Bergondo</t>
  </si>
  <si>
    <t xml:space="preserve">981.970.900</t>
  </si>
  <si>
    <t xml:space="preserve">4000000235</t>
  </si>
  <si>
    <t xml:space="preserve">__import__.res_partner_20000000239</t>
  </si>
  <si>
    <t xml:space="preserve">20000000239</t>
  </si>
  <si>
    <t xml:space="preserve">DO ART, LDA.</t>
  </si>
  <si>
    <t xml:space="preserve">PT507568656</t>
  </si>
  <si>
    <t xml:space="preserve">4150-170</t>
  </si>
  <si>
    <t xml:space="preserve">Rua do Campo Alegre, 436 - sobreloja</t>
  </si>
  <si>
    <t xml:space="preserve">Porto</t>
  </si>
  <si>
    <t xml:space="preserve">export@do-art.net</t>
  </si>
  <si>
    <t xml:space="preserve">351.220.945.691</t>
  </si>
  <si>
    <t xml:space="preserve">4000000239</t>
  </si>
  <si>
    <t xml:space="preserve">__import__.res_partner_20000000240</t>
  </si>
  <si>
    <t xml:space="preserve">20000000240</t>
  </si>
  <si>
    <t xml:space="preserve">STABILO INTERNATIONAL GMBH SUCURSAL EN ESPAÑA</t>
  </si>
  <si>
    <t xml:space="preserve">ESW0048859C</t>
  </si>
  <si>
    <t xml:space="preserve">28522</t>
  </si>
  <si>
    <t xml:space="preserve">C/ Ignacio Zuloaga, 22 Pol. Ind. Santa Ana</t>
  </si>
  <si>
    <t xml:space="preserve">RIVAS-VACIAMADRID</t>
  </si>
  <si>
    <t xml:space="preserve">Daniel.gomez@stabilo.com</t>
  </si>
  <si>
    <t xml:space="preserve">91 666 74 82</t>
  </si>
  <si>
    <t xml:space="preserve">4000000240</t>
  </si>
  <si>
    <t xml:space="preserve">__import__.res_partner_20000000242</t>
  </si>
  <si>
    <t xml:space="preserve">20000000242</t>
  </si>
  <si>
    <t xml:space="preserve">OXALIS 4 LEAF, S.L.</t>
  </si>
  <si>
    <t xml:space="preserve">ESB65814840</t>
  </si>
  <si>
    <t xml:space="preserve">08980</t>
  </si>
  <si>
    <t xml:space="preserve">C/ Riera de Pahissa, 18</t>
  </si>
  <si>
    <t xml:space="preserve">Sant Feliu de Llobregat</t>
  </si>
  <si>
    <t xml:space="preserve">93.666.20.61</t>
  </si>
  <si>
    <t xml:space="preserve">4000000242</t>
  </si>
  <si>
    <t xml:space="preserve">__import__.res_partner_20000000243</t>
  </si>
  <si>
    <t xml:space="preserve">20000000243</t>
  </si>
  <si>
    <t xml:space="preserve">PLICO PRODUCTS, S.L.</t>
  </si>
  <si>
    <t xml:space="preserve">ESB65770505</t>
  </si>
  <si>
    <t xml:space="preserve">08172</t>
  </si>
  <si>
    <t xml:space="preserve">C/ ORIENT 78, LOCAL 5-D</t>
  </si>
  <si>
    <t xml:space="preserve">SANT CUGAT DEL VALLES.</t>
  </si>
  <si>
    <t xml:space="preserve">936 74 99 55</t>
  </si>
  <si>
    <t xml:space="preserve">PLICO</t>
  </si>
  <si>
    <t xml:space="preserve">4000000243</t>
  </si>
  <si>
    <t xml:space="preserve">JACOBO</t>
  </si>
  <si>
    <t xml:space="preserve">__import__.res_partner_20000000244</t>
  </si>
  <si>
    <t xml:space="preserve">20000000244</t>
  </si>
  <si>
    <t xml:space="preserve">ARTESANIA CERDÁ, S.L.</t>
  </si>
  <si>
    <t xml:space="preserve">ESB46206991</t>
  </si>
  <si>
    <t xml:space="preserve">46850</t>
  </si>
  <si>
    <t xml:space="preserve">Pol. Ind. Carrascot C/ Artesans, 1-3</t>
  </si>
  <si>
    <t xml:space="preserve">L'Olleria</t>
  </si>
  <si>
    <t xml:space="preserve">mjose.hernandez@cerdagroup.com</t>
  </si>
  <si>
    <t xml:space="preserve">962200502</t>
  </si>
  <si>
    <t xml:space="preserve">4000000244</t>
  </si>
  <si>
    <t xml:space="preserve">usuario: 102868</t>
  </si>
  <si>
    <t xml:space="preserve">__import__.res_partner_20000000246</t>
  </si>
  <si>
    <t xml:space="preserve">20000000246</t>
  </si>
  <si>
    <t xml:space="preserve">PANINI ESPAÑA, S.A.</t>
  </si>
  <si>
    <t xml:space="preserve">ESA17113234</t>
  </si>
  <si>
    <t xml:space="preserve">17257</t>
  </si>
  <si>
    <t xml:space="preserve">C/ Joaquim Vallespi, 20</t>
  </si>
  <si>
    <t xml:space="preserve">Torroella de Montgrí</t>
  </si>
  <si>
    <t xml:space="preserve">972757411</t>
  </si>
  <si>
    <t xml:space="preserve">4000000246</t>
  </si>
  <si>
    <t xml:space="preserve">__import__.res_partner_20000000247</t>
  </si>
  <si>
    <t xml:space="preserve">20000000247</t>
  </si>
  <si>
    <t xml:space="preserve">JOSMAN CESAR GROUP, S.L.</t>
  </si>
  <si>
    <t xml:space="preserve">ESB03072873</t>
  </si>
  <si>
    <t xml:space="preserve">03700</t>
  </si>
  <si>
    <t xml:space="preserve">Pol. Ind. Juyarco, 46 Apartado de correos, 94</t>
  </si>
  <si>
    <t xml:space="preserve">Denia</t>
  </si>
  <si>
    <t xml:space="preserve">96.578.04.50</t>
  </si>
  <si>
    <t xml:space="preserve">4000000247</t>
  </si>
  <si>
    <t xml:space="preserve">__import__.res_partner_20000000248</t>
  </si>
  <si>
    <t xml:space="preserve">20000000248</t>
  </si>
  <si>
    <t xml:space="preserve">SONY PICTURES HOME ENTERTAINMENT Y CIA.</t>
  </si>
  <si>
    <t xml:space="preserve">ESC28863686</t>
  </si>
  <si>
    <t xml:space="preserve">Pedro de Valdivia, 10  3ª planta</t>
  </si>
  <si>
    <t xml:space="preserve">91.377.71.00</t>
  </si>
  <si>
    <t xml:space="preserve">4000000248</t>
  </si>
  <si>
    <t xml:space="preserve">__import__.res_partner_20000000250</t>
  </si>
  <si>
    <t xml:space="preserve">20000000250</t>
  </si>
  <si>
    <t xml:space="preserve">ERGOVALLEY, S.L.</t>
  </si>
  <si>
    <t xml:space="preserve">ESB65566747</t>
  </si>
  <si>
    <t xml:space="preserve">08015</t>
  </si>
  <si>
    <t xml:space="preserve">Tamarit, 104  5º 5ª</t>
  </si>
  <si>
    <t xml:space="preserve">Barcelona</t>
  </si>
  <si>
    <t xml:space="preserve">934.243.893</t>
  </si>
  <si>
    <t xml:space="preserve">4000000250</t>
  </si>
  <si>
    <t xml:space="preserve">__import__.res_partner_20000000251</t>
  </si>
  <si>
    <t xml:space="preserve">20000000251</t>
  </si>
  <si>
    <t xml:space="preserve">ORITA, S.A. (ALKYL)</t>
  </si>
  <si>
    <t xml:space="preserve">ESA28196848</t>
  </si>
  <si>
    <t xml:space="preserve">28947</t>
  </si>
  <si>
    <t xml:space="preserve">C/ Villafranca del Bierzo, 36 Pol. Ind. Cobo Calleja</t>
  </si>
  <si>
    <t xml:space="preserve">Fuenlabrada</t>
  </si>
  <si>
    <t xml:space="preserve">INFO@ORITA.ES</t>
  </si>
  <si>
    <t xml:space="preserve">91.638.03.08</t>
  </si>
  <si>
    <t xml:space="preserve">4000000251</t>
  </si>
  <si>
    <t xml:space="preserve">__import__.res_partner_20000000252</t>
  </si>
  <si>
    <t xml:space="preserve">20000000252</t>
  </si>
  <si>
    <t xml:space="preserve">GABOL S.L.</t>
  </si>
  <si>
    <t xml:space="preserve">ESB46202164</t>
  </si>
  <si>
    <t xml:space="preserve">46113</t>
  </si>
  <si>
    <t xml:space="preserve">LA CAMPANA Nº 6, POL. IND. MONCADA II</t>
  </si>
  <si>
    <t xml:space="preserve">MONCADA</t>
  </si>
  <si>
    <t xml:space="preserve">feralri@gmail.com</t>
  </si>
  <si>
    <t xml:space="preserve">961301034</t>
  </si>
  <si>
    <t xml:space="preserve">GABOL</t>
  </si>
  <si>
    <t xml:space="preserve">4000000252</t>
  </si>
  <si>
    <t xml:space="preserve">__import__.res_partner_20000000254</t>
  </si>
  <si>
    <t xml:space="preserve">20000000254</t>
  </si>
  <si>
    <t xml:space="preserve">SIMBA ESPAÑA, S.A.</t>
  </si>
  <si>
    <t xml:space="preserve">ESA59129551</t>
  </si>
  <si>
    <t xml:space="preserve">Avda. de la Industria, 49</t>
  </si>
  <si>
    <t xml:space="preserve">Alcobendas</t>
  </si>
  <si>
    <t xml:space="preserve">91.661.89.54</t>
  </si>
  <si>
    <t xml:space="preserve">4000000254</t>
  </si>
  <si>
    <t xml:space="preserve">__import__.res_partner_20000000255</t>
  </si>
  <si>
    <t xml:space="preserve">20000000255</t>
  </si>
  <si>
    <t xml:space="preserve">3GO COMPONENTES INFORMATICOS, S.L.</t>
  </si>
  <si>
    <t xml:space="preserve">ESB18826685</t>
  </si>
  <si>
    <t xml:space="preserve">18320</t>
  </si>
  <si>
    <t xml:space="preserve">Pol. Ind. Los Álamos Crta. De Atarfe - Santa Fe Nave 10 Fase 2, Calle A</t>
  </si>
  <si>
    <t xml:space="preserve">Atarfe</t>
  </si>
  <si>
    <t xml:space="preserve">isa@3go.es</t>
  </si>
  <si>
    <t xml:space="preserve">958209068</t>
  </si>
  <si>
    <t xml:space="preserve">4000000255</t>
  </si>
  <si>
    <t xml:space="preserve">__import__.res_partner_20000000256</t>
  </si>
  <si>
    <t xml:space="preserve">20000000256</t>
  </si>
  <si>
    <t xml:space="preserve">EDITORIAL ARGUVAL, S.L.</t>
  </si>
  <si>
    <t xml:space="preserve">ESB29146230</t>
  </si>
  <si>
    <t xml:space="preserve">29590</t>
  </si>
  <si>
    <t xml:space="preserve">Parque Industrial Trévenez, 1ª fase C/ María Malibrán, 16</t>
  </si>
  <si>
    <t xml:space="preserve">Málaga</t>
  </si>
  <si>
    <t xml:space="preserve">ricardo@arguval.com</t>
  </si>
  <si>
    <t xml:space="preserve">952.31.87.84</t>
  </si>
  <si>
    <t xml:space="preserve">4000000256</t>
  </si>
  <si>
    <t xml:space="preserve">__import__.res_partner_20000000257</t>
  </si>
  <si>
    <t xml:space="preserve">20000000257</t>
  </si>
  <si>
    <t xml:space="preserve">VISTAPLUS, S.A.U.</t>
  </si>
  <si>
    <t xml:space="preserve">ESA98521644</t>
  </si>
  <si>
    <t xml:space="preserve">C/ Escultor Alfred Torán y Olmos, 5, 25º</t>
  </si>
  <si>
    <t xml:space="preserve">Valencia</t>
  </si>
  <si>
    <t xml:space="preserve">96.148.76.74</t>
  </si>
  <si>
    <t xml:space="preserve">4000000257</t>
  </si>
  <si>
    <t xml:space="preserve">__import__.res_partner_20000000258</t>
  </si>
  <si>
    <t xml:space="preserve">20000000258</t>
  </si>
  <si>
    <t xml:space="preserve">FISKARS SPAIN, S.L.</t>
  </si>
  <si>
    <t xml:space="preserve">ESB84807528</t>
  </si>
  <si>
    <t xml:space="preserve">28050</t>
  </si>
  <si>
    <t xml:space="preserve">C/ ISABEL COLBRAND, 6 5ª PLANTA</t>
  </si>
  <si>
    <t xml:space="preserve">91.344.67.03</t>
  </si>
  <si>
    <t xml:space="preserve">4000000258</t>
  </si>
  <si>
    <t xml:space="preserve">__import__.res_partner_20000000259</t>
  </si>
  <si>
    <t xml:space="preserve">20000000259</t>
  </si>
  <si>
    <t xml:space="preserve">THINK &amp; ENJOY, S.L.</t>
  </si>
  <si>
    <t xml:space="preserve">ESB99309759</t>
  </si>
  <si>
    <t xml:space="preserve">50180</t>
  </si>
  <si>
    <t xml:space="preserve">Ctra. De Logroño, km 13,500 Pol.Ind.El Águila Coors Nave 12</t>
  </si>
  <si>
    <t xml:space="preserve">Utebo</t>
  </si>
  <si>
    <t xml:space="preserve">976.772.421</t>
  </si>
  <si>
    <t xml:space="preserve">4000000259</t>
  </si>
  <si>
    <t xml:space="preserve">__import__.res_partner_20000000260</t>
  </si>
  <si>
    <t xml:space="preserve">20000000260</t>
  </si>
  <si>
    <t xml:space="preserve">EDITORIAL CASALS S.A.</t>
  </si>
  <si>
    <t xml:space="preserve">ESA08199820</t>
  </si>
  <si>
    <t xml:space="preserve">28925</t>
  </si>
  <si>
    <t xml:space="preserve">C/PEDREZUELA, 9B NAVE 48, POL. IND. VENTORRO DEL  CANO</t>
  </si>
  <si>
    <t xml:space="preserve">constantino.pereira@editorialcasals.com</t>
  </si>
  <si>
    <t xml:space="preserve">902107007</t>
  </si>
  <si>
    <t xml:space="preserve">4000000260</t>
  </si>
  <si>
    <t xml:space="preserve">NUEVA DIRECCIÓN DE RECEPCIÓN DE DEVOLUCIONES:
C/ TRAMUNTANA, 50-52, POLÍGONO INDUSTRIAL DEL LLEVANT, SECTOR C
08213 POLINYÁ. TELF. 935 769 707
</t>
  </si>
  <si>
    <t xml:space="preserve">__import__.res_partner_20000000261</t>
  </si>
  <si>
    <t xml:space="preserve">20000000261</t>
  </si>
  <si>
    <t xml:space="preserve">NOVUS DAHLE SUD, S.L.</t>
  </si>
  <si>
    <t xml:space="preserve">CADIS, 17</t>
  </si>
  <si>
    <t xml:space="preserve">CORNELLA DE LLOBREGAT</t>
  </si>
  <si>
    <t xml:space="preserve">933 735 275</t>
  </si>
  <si>
    <t xml:space="preserve">NOVUS DAHLE</t>
  </si>
  <si>
    <t xml:space="preserve">4000000261</t>
  </si>
  <si>
    <t xml:space="preserve">20/02/23: 
CÓDIGO CLIENTE: 296184
PEDIDO MÍNIMO PARA GESTIÓN: 60€
PEDIDO MÍNIMO PARA PORTES GRATUITOS: 250€ SI NO COBRAN 16€ DE PORTES
</t>
  </si>
  <si>
    <t xml:space="preserve">__import__.res_partner_20000000262</t>
  </si>
  <si>
    <t xml:space="preserve">20000000262</t>
  </si>
  <si>
    <t xml:space="preserve">CYP IMPORTS, S.L.</t>
  </si>
  <si>
    <t xml:space="preserve">ESB80271802</t>
  </si>
  <si>
    <t xml:space="preserve">28400</t>
  </si>
  <si>
    <t xml:space="preserve">Pol. Ind. P-29 - Calle Buril, 71</t>
  </si>
  <si>
    <t xml:space="preserve">Collado-Villalba</t>
  </si>
  <si>
    <t xml:space="preserve">91.851.44.47</t>
  </si>
  <si>
    <t xml:space="preserve">4000000262</t>
  </si>
  <si>
    <t xml:space="preserve">__import__.res_partner_20000000263</t>
  </si>
  <si>
    <t xml:space="preserve">20000000263</t>
  </si>
  <si>
    <t xml:space="preserve">VALCARCE TARJETA TRANSPORTE S.A.</t>
  </si>
  <si>
    <t xml:space="preserve">acreedor</t>
  </si>
  <si>
    <t xml:space="preserve">ESA24353039</t>
  </si>
  <si>
    <t xml:space="preserve">24524</t>
  </si>
  <si>
    <t xml:space="preserve">A6 MADRID-CORUÑA</t>
  </si>
  <si>
    <t xml:space="preserve">PORTELA - VEGA DE VALCARCE</t>
  </si>
  <si>
    <t xml:space="preserve">902100762</t>
  </si>
  <si>
    <t xml:space="preserve">4000000263</t>
  </si>
  <si>
    <t xml:space="preserve">__import__.res_partner_20000000264</t>
  </si>
  <si>
    <t xml:space="preserve">20000000264</t>
  </si>
  <si>
    <t xml:space="preserve">PROGED, S.L.</t>
  </si>
  <si>
    <t xml:space="preserve">ESB01050475</t>
  </si>
  <si>
    <t xml:space="preserve">01015</t>
  </si>
  <si>
    <t xml:space="preserve">C/ JUNDIZ Nº 4 - PABELLON 9A</t>
  </si>
  <si>
    <t xml:space="preserve">VICTORIA (ALAVA)</t>
  </si>
  <si>
    <t xml:space="preserve">nuno.santos@estadodeculto.com</t>
  </si>
  <si>
    <t xml:space="preserve">945 29 15 15</t>
  </si>
  <si>
    <t xml:space="preserve">4000000264</t>
  </si>
  <si>
    <t xml:space="preserve">SR. JESUS CORNAGO JARAUTA</t>
  </si>
  <si>
    <t xml:space="preserve">__import__.res_partner_20000000265</t>
  </si>
  <si>
    <t xml:space="preserve">20000000265</t>
  </si>
  <si>
    <t xml:space="preserve">CATWALK-669, S.L.</t>
  </si>
  <si>
    <t xml:space="preserve">ESB64388473</t>
  </si>
  <si>
    <t xml:space="preserve">8750</t>
  </si>
  <si>
    <t xml:space="preserve">C/ Narcís Monturiol, 1(Pol. Ind. Riera del Molí II)</t>
  </si>
  <si>
    <t xml:space="preserve">Molins de Rei</t>
  </si>
  <si>
    <t xml:space="preserve">93.309.10.35</t>
  </si>
  <si>
    <t xml:space="preserve">CATWALK-669, S.L.CATWALK-669, S.L.</t>
  </si>
  <si>
    <t xml:space="preserve">4000000265</t>
  </si>
  <si>
    <t xml:space="preserve">__import__.res_partner_20000000266</t>
  </si>
  <si>
    <t xml:space="preserve">20000000266</t>
  </si>
  <si>
    <t xml:space="preserve">INNSPIRO FONTORPIN, S.L.</t>
  </si>
  <si>
    <t xml:space="preserve">ESB60033354</t>
  </si>
  <si>
    <t xml:space="preserve">8509</t>
  </si>
  <si>
    <t xml:space="preserve">Taga, 16. Ctra. C17, km. 73,5</t>
  </si>
  <si>
    <t xml:space="preserve">Masies de Voltregà</t>
  </si>
  <si>
    <t xml:space="preserve">93.859.08.30</t>
  </si>
  <si>
    <t xml:space="preserve">4000000266</t>
  </si>
  <si>
    <t xml:space="preserve">__import__.res_partner_20000000267</t>
  </si>
  <si>
    <t xml:space="preserve">20000000267</t>
  </si>
  <si>
    <t xml:space="preserve">COLART IBERICA, S.A.</t>
  </si>
  <si>
    <t xml:space="preserve">ESA58463688</t>
  </si>
  <si>
    <t xml:space="preserve">C/ Capitán Haya, 1  planta 15</t>
  </si>
  <si>
    <t xml:space="preserve">91.284.46.01</t>
  </si>
  <si>
    <t xml:space="preserve">4000000267</t>
  </si>
  <si>
    <t xml:space="preserve">__import__.res_partner_20000000268</t>
  </si>
  <si>
    <t xml:space="preserve">20000000268</t>
  </si>
  <si>
    <t xml:space="preserve">TODOLIBRO, S.A.</t>
  </si>
  <si>
    <t xml:space="preserve">ESA79245494</t>
  </si>
  <si>
    <t xml:space="preserve">28022</t>
  </si>
  <si>
    <t xml:space="preserve">C/ Campezo, 13</t>
  </si>
  <si>
    <t xml:space="preserve">91.300.91.15</t>
  </si>
  <si>
    <t xml:space="preserve">4000000268</t>
  </si>
  <si>
    <t xml:space="preserve">__import__.res_partner_20000000270</t>
  </si>
  <si>
    <t xml:space="preserve">20000000270</t>
  </si>
  <si>
    <t xml:space="preserve">FOIMPEX, S.L.</t>
  </si>
  <si>
    <t xml:space="preserve">ESB08642159</t>
  </si>
  <si>
    <t xml:space="preserve">8940</t>
  </si>
  <si>
    <t xml:space="preserve">Crom, 25</t>
  </si>
  <si>
    <t xml:space="preserve">Cornella de Llobregat</t>
  </si>
  <si>
    <t xml:space="preserve">93.296.88.82</t>
  </si>
  <si>
    <t xml:space="preserve">4000000270</t>
  </si>
  <si>
    <t xml:space="preserve">__import__.res_partner_20000000271</t>
  </si>
  <si>
    <t xml:space="preserve">20000000271</t>
  </si>
  <si>
    <t xml:space="preserve">GUACHIPILOTES, S.L.</t>
  </si>
  <si>
    <t xml:space="preserve">ESB83613729</t>
  </si>
  <si>
    <t xml:space="preserve">C/ Polígono, 4</t>
  </si>
  <si>
    <t xml:space="preserve">Becerril de la Sierra</t>
  </si>
  <si>
    <t xml:space="preserve">91.853.13.28</t>
  </si>
  <si>
    <t xml:space="preserve">4000000271</t>
  </si>
  <si>
    <t xml:space="preserve">__import__.res_partner_20000000275</t>
  </si>
  <si>
    <t xml:space="preserve">20000000275</t>
  </si>
  <si>
    <t xml:space="preserve">IMPORT BOERS S.L.</t>
  </si>
  <si>
    <t xml:space="preserve">ESB65446890</t>
  </si>
  <si>
    <t xml:space="preserve">08013</t>
  </si>
  <si>
    <t xml:space="preserve">C/ AUSIAS 104-106 6-2</t>
  </si>
  <si>
    <t xml:space="preserve">info@iboers.com</t>
  </si>
  <si>
    <t xml:space="preserve">932695568</t>
  </si>
  <si>
    <t xml:space="preserve">IBOERS</t>
  </si>
  <si>
    <t xml:space="preserve">4000000275</t>
  </si>
  <si>
    <t xml:space="preserve">__import__.res_partner_20000000276</t>
  </si>
  <si>
    <t xml:space="preserve">20000000276</t>
  </si>
  <si>
    <t xml:space="preserve">CASA BARRERA S.L.</t>
  </si>
  <si>
    <t xml:space="preserve">ESB03139763</t>
  </si>
  <si>
    <t xml:space="preserve">P.L. JUYARCO PDA. MADRIGUERES SUD 50-52</t>
  </si>
  <si>
    <t xml:space="preserve">APDO CORREOS Nº 208</t>
  </si>
  <si>
    <t xml:space="preserve">DENIA</t>
  </si>
  <si>
    <t xml:space="preserve">facturacion@casabarrera.com</t>
  </si>
  <si>
    <t xml:space="preserve">966 426 085</t>
  </si>
  <si>
    <t xml:space="preserve">MALUCA</t>
  </si>
  <si>
    <t xml:space="preserve">4000000276</t>
  </si>
  <si>
    <t xml:space="preserve">__import__.res_partner_20000000277</t>
  </si>
  <si>
    <t xml:space="preserve">20000000277</t>
  </si>
  <si>
    <t xml:space="preserve">ASPPAN, S.L</t>
  </si>
  <si>
    <t xml:space="preserve">ESB78885068</t>
  </si>
  <si>
    <t xml:space="preserve">La Fundición, 15</t>
  </si>
  <si>
    <t xml:space="preserve">Rivas Vaciamadrid</t>
  </si>
  <si>
    <t xml:space="preserve">91.666.50.01</t>
  </si>
  <si>
    <t xml:space="preserve">4000000277</t>
  </si>
  <si>
    <t xml:space="preserve">__import__.res_partner_20000000278</t>
  </si>
  <si>
    <t xml:space="preserve">20000000278</t>
  </si>
  <si>
    <t xml:space="preserve">HALLER FRANQUICIAS, S.L.</t>
  </si>
  <si>
    <t xml:space="preserve">ESB99013690</t>
  </si>
  <si>
    <t xml:space="preserve">50006</t>
  </si>
  <si>
    <t xml:space="preserve">Marina Española, 2 Bajo, Of. 850006 Zaragoza</t>
  </si>
  <si>
    <t xml:space="preserve">976.108.989</t>
  </si>
  <si>
    <t xml:space="preserve">4000000278</t>
  </si>
  <si>
    <t xml:space="preserve">__import__.res_partner_20000000279</t>
  </si>
  <si>
    <t xml:space="preserve">20000000279</t>
  </si>
  <si>
    <t xml:space="preserve">3M ESPAÑA, S.L</t>
  </si>
  <si>
    <t xml:space="preserve">ESB28078020</t>
  </si>
  <si>
    <t xml:space="preserve">aldapatxo@aldapatxo.com</t>
  </si>
  <si>
    <t xml:space="preserve">91 321 60 00</t>
  </si>
  <si>
    <t xml:space="preserve">3M ESPAÑA, S.L.</t>
  </si>
  <si>
    <t xml:space="preserve">4000000279</t>
  </si>
  <si>
    <t xml:space="preserve">__import__.res_partner_20000000280</t>
  </si>
  <si>
    <t xml:space="preserve">20000000280</t>
  </si>
  <si>
    <t xml:space="preserve">ART &amp; HOBBY, S.L.</t>
  </si>
  <si>
    <t xml:space="preserve">ESB97631840</t>
  </si>
  <si>
    <t xml:space="preserve">46290</t>
  </si>
  <si>
    <t xml:space="preserve">C/ Sequía del Quint, 22 Pol. Ind. Entrevies  Parcela 36  Nave 7</t>
  </si>
  <si>
    <t xml:space="preserve">Ribarroja del Turia </t>
  </si>
  <si>
    <t xml:space="preserve">961.564.292</t>
  </si>
  <si>
    <t xml:space="preserve">4000000280</t>
  </si>
  <si>
    <t xml:space="preserve">__import__.res_partner_20000000282</t>
  </si>
  <si>
    <t xml:space="preserve">20000000282</t>
  </si>
  <si>
    <t xml:space="preserve">DHP COMERPA S.L.U.</t>
  </si>
  <si>
    <t xml:space="preserve">ESB18580332</t>
  </si>
  <si>
    <t xml:space="preserve">18220</t>
  </si>
  <si>
    <t xml:space="preserve">POL. IND. JUNCARIL C/ALMUÑECAR NAVE 11B</t>
  </si>
  <si>
    <t xml:space="preserve">ALBOLOTE</t>
  </si>
  <si>
    <t xml:space="preserve">pedroariaspar@gmail.com  </t>
  </si>
  <si>
    <t xml:space="preserve">958 468 848</t>
  </si>
  <si>
    <t xml:space="preserve">DHP</t>
  </si>
  <si>
    <t xml:space="preserve">4000000282</t>
  </si>
  <si>
    <t xml:space="preserve">DESCUENTO SOBRE TARIFA 30+10%</t>
  </si>
  <si>
    <t xml:space="preserve">__import__.res_partner_20000000283</t>
  </si>
  <si>
    <t xml:space="preserve">20000000283</t>
  </si>
  <si>
    <t xml:space="preserve">COMPUDID, S.L. (AQUAMARINE GAMES)</t>
  </si>
  <si>
    <t xml:space="preserve">ESB80028103</t>
  </si>
  <si>
    <t xml:space="preserve">28035</t>
  </si>
  <si>
    <t xml:space="preserve">C/ Angelita Camarero, 5C</t>
  </si>
  <si>
    <t xml:space="preserve">913.162.613</t>
  </si>
  <si>
    <t xml:space="preserve">4000000283</t>
  </si>
  <si>
    <t xml:space="preserve">__import__.res_partner_20000000284</t>
  </si>
  <si>
    <t xml:space="preserve">20000000284</t>
  </si>
  <si>
    <t xml:space="preserve">ESTANTERIAS SIMON,  S.L.</t>
  </si>
  <si>
    <t xml:space="preserve">ESB50556463</t>
  </si>
  <si>
    <t xml:space="preserve">50461</t>
  </si>
  <si>
    <t xml:space="preserve">POLIGONO DE ALFAMEN C/POL.Nº3</t>
  </si>
  <si>
    <t xml:space="preserve">ALFAMEN </t>
  </si>
  <si>
    <t xml:space="preserve">atencionb@simonrack.com</t>
  </si>
  <si>
    <t xml:space="preserve">976.628.537</t>
  </si>
  <si>
    <t xml:space="preserve">ESTANTERIAS SIMON </t>
  </si>
  <si>
    <t xml:space="preserve">4000000284</t>
  </si>
  <si>
    <t xml:space="preserve">__import__.res_partner_20000000285</t>
  </si>
  <si>
    <t xml:space="preserve">20000000285</t>
  </si>
  <si>
    <t xml:space="preserve">JUGUETES PARA SOÑAR, S.L.</t>
  </si>
  <si>
    <t xml:space="preserve">ESB63675276</t>
  </si>
  <si>
    <t xml:space="preserve">08690</t>
  </si>
  <si>
    <t xml:space="preserve">Av. Baix Llobregat, 89</t>
  </si>
  <si>
    <t xml:space="preserve">Santa Coloma de Cervelló </t>
  </si>
  <si>
    <t xml:space="preserve">936 450 104</t>
  </si>
  <si>
    <t xml:space="preserve">4000000285</t>
  </si>
  <si>
    <t xml:space="preserve">__import__.res_partner_20000000289</t>
  </si>
  <si>
    <t xml:space="preserve">20000000289</t>
  </si>
  <si>
    <t xml:space="preserve">MAB ARTIGOS DE PAPELARIA, LDA</t>
  </si>
  <si>
    <t xml:space="preserve">PT507551753</t>
  </si>
  <si>
    <t xml:space="preserve">4470-766</t>
  </si>
  <si>
    <t xml:space="preserve">Rua Da Fabrica, 222</t>
  </si>
  <si>
    <t xml:space="preserve">MAIA</t>
  </si>
  <si>
    <t xml:space="preserve">+35 1229958865</t>
  </si>
  <si>
    <t xml:space="preserve">4000000289</t>
  </si>
  <si>
    <t xml:space="preserve">__import__.res_partner_20000000290</t>
  </si>
  <si>
    <t xml:space="preserve">20000000290</t>
  </si>
  <si>
    <t xml:space="preserve">DAYKA TRADE, S.L.</t>
  </si>
  <si>
    <t xml:space="preserve">ESB01431725</t>
  </si>
  <si>
    <t xml:space="preserve">39709</t>
  </si>
  <si>
    <t xml:space="preserve">Pol. Ind. Vallegón  Edificio A Nave 9 Sámano</t>
  </si>
  <si>
    <t xml:space="preserve">Castro Urdiales </t>
  </si>
  <si>
    <t xml:space="preserve">942 851 553</t>
  </si>
  <si>
    <t xml:space="preserve">4000000290</t>
  </si>
  <si>
    <t xml:space="preserve">__import__.res_partner_20000000291</t>
  </si>
  <si>
    <t xml:space="preserve">20000000291</t>
  </si>
  <si>
    <t xml:space="preserve">STUDYPLAN, S.L.</t>
  </si>
  <si>
    <t xml:space="preserve">ESB80212582</t>
  </si>
  <si>
    <t xml:space="preserve">Pablo Serrano, 5 - Local</t>
  </si>
  <si>
    <t xml:space="preserve">914 132 261</t>
  </si>
  <si>
    <t xml:space="preserve">4000000291</t>
  </si>
  <si>
    <t xml:space="preserve">__import__.res_partner_20000000292</t>
  </si>
  <si>
    <t xml:space="preserve">20000000292</t>
  </si>
  <si>
    <t xml:space="preserve">VISQUI BARCELONA, S.L.</t>
  </si>
  <si>
    <t xml:space="preserve">ESB65817173</t>
  </si>
  <si>
    <t xml:space="preserve">08034</t>
  </si>
  <si>
    <t xml:space="preserve">Riu de l'Or, 19 - Local 6</t>
  </si>
  <si>
    <t xml:space="preserve">932520520</t>
  </si>
  <si>
    <t xml:space="preserve">4000000292</t>
  </si>
  <si>
    <t xml:space="preserve">__import__.res_partner_20000000293</t>
  </si>
  <si>
    <t xml:space="preserve">20000000293</t>
  </si>
  <si>
    <t xml:space="preserve">A. ALVES &amp; Cª LDA</t>
  </si>
  <si>
    <t xml:space="preserve">PT501127666</t>
  </si>
  <si>
    <t xml:space="preserve">4760-563</t>
  </si>
  <si>
    <t xml:space="preserve">RUA PADRE DOMINGOS JOAQUIN PEREIRA, 1039</t>
  </si>
  <si>
    <t xml:space="preserve">LOURO</t>
  </si>
  <si>
    <t xml:space="preserve">252 320 000</t>
  </si>
  <si>
    <t xml:space="preserve">4000000293</t>
  </si>
  <si>
    <t xml:space="preserve">__import__.res_partner_20000000294</t>
  </si>
  <si>
    <t xml:space="preserve">20000000294</t>
  </si>
  <si>
    <t xml:space="preserve">INDUSTRIAS TITAN, S.A.</t>
  </si>
  <si>
    <t xml:space="preserve">ESA08015273</t>
  </si>
  <si>
    <t xml:space="preserve">Pol. Ind. Pratense, Calle 114, Nº 21-23</t>
  </si>
  <si>
    <t xml:space="preserve">El Prat de Llobregat </t>
  </si>
  <si>
    <t xml:space="preserve">934797494</t>
  </si>
  <si>
    <t xml:space="preserve">4000000294</t>
  </si>
  <si>
    <t xml:space="preserve">__import__.res_partner_20000000295</t>
  </si>
  <si>
    <t xml:space="preserve">20000000295</t>
  </si>
  <si>
    <t xml:space="preserve">ALADESK, S.L.</t>
  </si>
  <si>
    <t xml:space="preserve">ESB65972150</t>
  </si>
  <si>
    <t xml:space="preserve">P.I. Molí d'en Xec C/ Can Barneda, Nave 5</t>
  </si>
  <si>
    <t xml:space="preserve">935616691</t>
  </si>
  <si>
    <t xml:space="preserve">4000000295</t>
  </si>
  <si>
    <t xml:space="preserve">__import__.res_partner_20000000298</t>
  </si>
  <si>
    <t xml:space="preserve">20000000298</t>
  </si>
  <si>
    <t xml:space="preserve">DMM SUPPLIES, S.L.</t>
  </si>
  <si>
    <t xml:space="preserve">ESB54790969</t>
  </si>
  <si>
    <t xml:space="preserve">03008</t>
  </si>
  <si>
    <t xml:space="preserve">Avda de Elche nº 157 Nave 12</t>
  </si>
  <si>
    <t xml:space="preserve">Alicante</t>
  </si>
  <si>
    <t xml:space="preserve">965 030 886</t>
  </si>
  <si>
    <t xml:space="preserve">4000000298</t>
  </si>
  <si>
    <t xml:space="preserve">__import__.res_partner_20000000300</t>
  </si>
  <si>
    <t xml:space="preserve">20000000300</t>
  </si>
  <si>
    <t xml:space="preserve">LES PUNXES DISTRIBUIDORA, S.L. </t>
  </si>
  <si>
    <t xml:space="preserve">ESB08292054</t>
  </si>
  <si>
    <t xml:space="preserve">GRAN VÍA DE LES CORTS CATALANES, 669 BIS PRINCIPAL 2ª</t>
  </si>
  <si>
    <t xml:space="preserve">934 856 380</t>
  </si>
  <si>
    <t xml:space="preserve">4000000300</t>
  </si>
  <si>
    <t xml:space="preserve">__import__.res_partner_20000000301</t>
  </si>
  <si>
    <t xml:space="preserve">20000000301</t>
  </si>
  <si>
    <t xml:space="preserve">NICI GmbH</t>
  </si>
  <si>
    <t xml:space="preserve">DE251219788</t>
  </si>
  <si>
    <t xml:space="preserve">DE 96264</t>
  </si>
  <si>
    <t xml:space="preserve">Langheimer Strasse, 94</t>
  </si>
  <si>
    <t xml:space="preserve">Altenkunstadt </t>
  </si>
  <si>
    <t xml:space="preserve">902 190 625</t>
  </si>
  <si>
    <t xml:space="preserve">4000000301</t>
  </si>
  <si>
    <t xml:space="preserve">__import__.res_partner_20000000303</t>
  </si>
  <si>
    <t xml:space="preserve">20000000303</t>
  </si>
  <si>
    <t xml:space="preserve">Tecnologia Sostenible y Responsable, S.L. (Reticare)</t>
  </si>
  <si>
    <t xml:space="preserve">ESB86262680</t>
  </si>
  <si>
    <t xml:space="preserve">Avd. del Sol, 11</t>
  </si>
  <si>
    <t xml:space="preserve">902676152</t>
  </si>
  <si>
    <t xml:space="preserve">4000000303</t>
  </si>
  <si>
    <t xml:space="preserve">__import__.res_partner_20000000304</t>
  </si>
  <si>
    <t xml:space="preserve">20000000304</t>
  </si>
  <si>
    <t xml:space="preserve">DISTRIBUCIONS LA LLUNA, S.C.P</t>
  </si>
  <si>
    <t xml:space="preserve">ESJ60520608</t>
  </si>
  <si>
    <t xml:space="preserve">08612</t>
  </si>
  <si>
    <t xml:space="preserve">Carrer Can Jordana, S/N</t>
  </si>
  <si>
    <t xml:space="preserve">Montmajor</t>
  </si>
  <si>
    <t xml:space="preserve">938246131</t>
  </si>
  <si>
    <t xml:space="preserve">4000000304</t>
  </si>
  <si>
    <t xml:space="preserve">__import__.res_partner_20000000306</t>
  </si>
  <si>
    <t xml:space="preserve">20000000306</t>
  </si>
  <si>
    <t xml:space="preserve">LEDYSPA CENTRO, S.L.</t>
  </si>
  <si>
    <t xml:space="preserve">ESB86469293</t>
  </si>
  <si>
    <t xml:space="preserve">C/ Isabel Colbrand, 10-12 Ed. Alfa, planta 5 Nave 143</t>
  </si>
  <si>
    <t xml:space="preserve">912613400</t>
  </si>
  <si>
    <t xml:space="preserve">4000000306</t>
  </si>
  <si>
    <t xml:space="preserve">__import__.res_partner_20000000309</t>
  </si>
  <si>
    <t xml:space="preserve">20000000309</t>
  </si>
  <si>
    <t xml:space="preserve">INDUSTRIAL PAPELERA ANDINA, S.L.</t>
  </si>
  <si>
    <t xml:space="preserve">ESB27268853</t>
  </si>
  <si>
    <t xml:space="preserve">27003</t>
  </si>
  <si>
    <t xml:space="preserve">Rúa das Panadeiras, 27-29 Pol. Ind. Del Ceao</t>
  </si>
  <si>
    <t xml:space="preserve">LUGO</t>
  </si>
  <si>
    <t xml:space="preserve">facturacion@papeleraandina.com</t>
  </si>
  <si>
    <t xml:space="preserve">982 207 249</t>
  </si>
  <si>
    <t xml:space="preserve">4000000309</t>
  </si>
  <si>
    <t xml:space="preserve">__import__.res_partner_20000000310</t>
  </si>
  <si>
    <t xml:space="preserve">20000000310</t>
  </si>
  <si>
    <t xml:space="preserve">ARTESANIA CHOPO, S.L.</t>
  </si>
  <si>
    <t xml:space="preserve">ESB28741288</t>
  </si>
  <si>
    <t xml:space="preserve">C/ León, 3 (Pol. Ind. Cobo Calleja)</t>
  </si>
  <si>
    <t xml:space="preserve">916 420 336 </t>
  </si>
  <si>
    <t xml:space="preserve">4000000310</t>
  </si>
  <si>
    <t xml:space="preserve">__import__.res_partner_20000000311</t>
  </si>
  <si>
    <t xml:space="preserve">20000000311</t>
  </si>
  <si>
    <t xml:space="preserve">KIKKERLAND EUROPE BV.</t>
  </si>
  <si>
    <t xml:space="preserve">NL818391704B</t>
  </si>
  <si>
    <t xml:space="preserve">Abad Armengol, 24 </t>
  </si>
  <si>
    <t xml:space="preserve">San Cugat del Valles</t>
  </si>
  <si>
    <t xml:space="preserve">NL</t>
  </si>
  <si>
    <t xml:space="preserve">935 878 205</t>
  </si>
  <si>
    <t xml:space="preserve">4000000311</t>
  </si>
  <si>
    <t xml:space="preserve">__import__.res_partner_20000000313</t>
  </si>
  <si>
    <t xml:space="preserve">20000000313</t>
  </si>
  <si>
    <t xml:space="preserve">DOIYCUSTOM, S.L. DOIY AND FRIENS</t>
  </si>
  <si>
    <t xml:space="preserve">ESB64912678</t>
  </si>
  <si>
    <t xml:space="preserve">C/ Roc Boronat, 71</t>
  </si>
  <si>
    <t xml:space="preserve">931 275 030</t>
  </si>
  <si>
    <t xml:space="preserve">4000000313</t>
  </si>
  <si>
    <t xml:space="preserve">__import__.res_partner_20000000314</t>
  </si>
  <si>
    <t xml:space="preserve">20000000314</t>
  </si>
  <si>
    <t xml:space="preserve">EL COLUMPIO DE NOA, S.L.</t>
  </si>
  <si>
    <t xml:space="preserve">ESB91193027</t>
  </si>
  <si>
    <t xml:space="preserve">C/ Florida, 30</t>
  </si>
  <si>
    <t xml:space="preserve">Villaviciosa de Odón</t>
  </si>
  <si>
    <t xml:space="preserve">911 930 275</t>
  </si>
  <si>
    <t xml:space="preserve">4000000314</t>
  </si>
  <si>
    <t xml:space="preserve">__import__.res_partner_20000000315</t>
  </si>
  <si>
    <t xml:space="preserve">20000000315</t>
  </si>
  <si>
    <t xml:space="preserve">MINISTRY OF LANGUAGES, S.L. (SUPERBRITÁNICO)</t>
  </si>
  <si>
    <t xml:space="preserve">ESB91970038</t>
  </si>
  <si>
    <t xml:space="preserve">41003</t>
  </si>
  <si>
    <t xml:space="preserve">C/ Amargura, 4 local</t>
  </si>
  <si>
    <t xml:space="preserve">Sevilla</t>
  </si>
  <si>
    <t xml:space="preserve">954 389 656</t>
  </si>
  <si>
    <t xml:space="preserve">4000000315</t>
  </si>
  <si>
    <t xml:space="preserve">__import__.res_partner_20000000316</t>
  </si>
  <si>
    <t xml:space="preserve">20000000316</t>
  </si>
  <si>
    <t xml:space="preserve">LA LLUNA 1992, S.L.</t>
  </si>
  <si>
    <t xml:space="preserve">ESB66606591</t>
  </si>
  <si>
    <t xml:space="preserve">938 246 131</t>
  </si>
  <si>
    <t xml:space="preserve">4000000316</t>
  </si>
  <si>
    <t xml:space="preserve">__import__.res_partner_20000000318</t>
  </si>
  <si>
    <t xml:space="preserve">20000000318</t>
  </si>
  <si>
    <t xml:space="preserve">QUIERE TÉ NATURAL, S.L. (AMATÉ)</t>
  </si>
  <si>
    <t xml:space="preserve">ESB84406487</t>
  </si>
  <si>
    <t xml:space="preserve">28660 </t>
  </si>
  <si>
    <t xml:space="preserve">Artesanos, 14-27 </t>
  </si>
  <si>
    <t xml:space="preserve">Boadilla del Monte </t>
  </si>
  <si>
    <t xml:space="preserve">916 321 789</t>
  </si>
  <si>
    <t xml:space="preserve">4000000318</t>
  </si>
  <si>
    <t xml:space="preserve">__import__.res_partner_20000000319</t>
  </si>
  <si>
    <t xml:space="preserve">20000000319</t>
  </si>
  <si>
    <t xml:space="preserve">EDITORIAL GUSTAVO GILI, S.L.</t>
  </si>
  <si>
    <t xml:space="preserve">ESB64058043</t>
  </si>
  <si>
    <t xml:space="preserve">Via Laietana, 47 2º 08003 Barcelona</t>
  </si>
  <si>
    <t xml:space="preserve">4000000319</t>
  </si>
  <si>
    <t xml:space="preserve">__import__.res_partner_20000000322</t>
  </si>
  <si>
    <t xml:space="preserve">20000000322</t>
  </si>
  <si>
    <t xml:space="preserve">NIKIDOM, S.L.</t>
  </si>
  <si>
    <t xml:space="preserve">ESB61788162</t>
  </si>
  <si>
    <t xml:space="preserve">Dr. Trueba, 179, 2º 10ª</t>
  </si>
  <si>
    <t xml:space="preserve">933 003 072</t>
  </si>
  <si>
    <t xml:space="preserve">4000000322</t>
  </si>
  <si>
    <t xml:space="preserve">__import__.res_partner_20000000323</t>
  </si>
  <si>
    <t xml:space="preserve">20000000323</t>
  </si>
  <si>
    <t xml:space="preserve">TALENS ESPAÑA, S.A.</t>
  </si>
  <si>
    <t xml:space="preserve">ESA08542771</t>
  </si>
  <si>
    <t xml:space="preserve">08908</t>
  </si>
  <si>
    <t xml:space="preserve">C/MIGUEL HERNANDEZ, 39 2ªPLANTA</t>
  </si>
  <si>
    <t xml:space="preserve">POL. IND. GRAN VIA SUR</t>
  </si>
  <si>
    <t xml:space="preserve">HOSPITALET DE LLOBREGAT,L'</t>
  </si>
  <si>
    <t xml:space="preserve">e.figueiredo@royaltalens.com</t>
  </si>
  <si>
    <t xml:space="preserve">933 368 750</t>
  </si>
  <si>
    <t xml:space="preserve">4000000323</t>
  </si>
  <si>
    <r>
      <rPr>
        <sz val="11"/>
        <color rgb="FF000000"/>
        <rFont val="Calibri"/>
        <family val="2"/>
        <charset val="1"/>
      </rPr>
      <t xml:space="preserve">Descuento general 25%
</t>
    </r>
    <r>
      <rPr>
        <sz val="10"/>
        <color rgb="FF000000"/>
        <rFont val="Arial"/>
        <family val="2"/>
        <charset val="1"/>
      </rPr>
      <t xml:space="preserve">y descuentos especiales que se negocian por familias con Emilio.</t>
    </r>
  </si>
  <si>
    <t xml:space="preserve">__import__.res_partner_20000000324</t>
  </si>
  <si>
    <t xml:space="preserve">20000000324</t>
  </si>
  <si>
    <t xml:space="preserve">AMBAR PASSION S.A.</t>
  </si>
  <si>
    <t xml:space="preserve">PT513087885</t>
  </si>
  <si>
    <t xml:space="preserve">Manuel Pinto de Azevedo, 363</t>
  </si>
  <si>
    <t xml:space="preserve">pedro.barbosa@ambar.pt</t>
  </si>
  <si>
    <t xml:space="preserve">00351226151400</t>
  </si>
  <si>
    <t xml:space="preserve">AMBAR</t>
  </si>
  <si>
    <t xml:space="preserve">4000000324</t>
  </si>
  <si>
    <t xml:space="preserve">__import__.res_partner_20000000327</t>
  </si>
  <si>
    <t xml:space="preserve">20000000327</t>
  </si>
  <si>
    <t xml:space="preserve">CASA VIGAR, S.L.</t>
  </si>
  <si>
    <t xml:space="preserve">ESB03268802</t>
  </si>
  <si>
    <t xml:space="preserve">03740</t>
  </si>
  <si>
    <t xml:space="preserve">PLANES DE PARTIDA, PARC. 331-334</t>
  </si>
  <si>
    <t xml:space="preserve">GATA DE GORGOS</t>
  </si>
  <si>
    <t xml:space="preserve">965 757 035</t>
  </si>
  <si>
    <t xml:space="preserve">4000000327</t>
  </si>
  <si>
    <t xml:space="preserve">__import__.res_partner_20000000328</t>
  </si>
  <si>
    <t xml:space="preserve">20000000328</t>
  </si>
  <si>
    <t xml:space="preserve">QUAMLICENSE, S.L.</t>
  </si>
  <si>
    <t xml:space="preserve">ESB91918433</t>
  </si>
  <si>
    <t xml:space="preserve">41900</t>
  </si>
  <si>
    <t xml:space="preserve">POL.IND. PARQUE PLATA, C.MOZARABE, NAVE 29</t>
  </si>
  <si>
    <t xml:space="preserve">CAMAS</t>
  </si>
  <si>
    <t xml:space="preserve">955 547 314</t>
  </si>
  <si>
    <t xml:space="preserve">4000000328</t>
  </si>
  <si>
    <t xml:space="preserve">__import__.res_partner_20000000330</t>
  </si>
  <si>
    <t xml:space="preserve">20000000330</t>
  </si>
  <si>
    <t xml:space="preserve">DISEÑO EN ROTULACION ESTUDIO XI, S.L.</t>
  </si>
  <si>
    <t xml:space="preserve">ESB81293722</t>
  </si>
  <si>
    <t xml:space="preserve">28942</t>
  </si>
  <si>
    <t xml:space="preserve">POL. IND. URANGA, C.JARAMA 2BIS</t>
  </si>
  <si>
    <t xml:space="preserve">946 901 122</t>
  </si>
  <si>
    <t xml:space="preserve">RES. MENS. + 30, 60, 90 DIAS</t>
  </si>
  <si>
    <t xml:space="preserve">4000000330</t>
  </si>
  <si>
    <t xml:space="preserve">__import__.res_partner_20000000331</t>
  </si>
  <si>
    <t xml:space="preserve">20000000331</t>
  </si>
  <si>
    <t xml:space="preserve">MONTANA COLORS, S.L.</t>
  </si>
  <si>
    <t xml:space="preserve">ESB60556065</t>
  </si>
  <si>
    <t xml:space="preserve">08295</t>
  </si>
  <si>
    <t xml:space="preserve">P. Ind. Plà de les Vives</t>
  </si>
  <si>
    <t xml:space="preserve">C/ Anaïs Nin, 12</t>
  </si>
  <si>
    <t xml:space="preserve">Sant Vicenç de Castellet </t>
  </si>
  <si>
    <t xml:space="preserve">938 332 787</t>
  </si>
  <si>
    <t xml:space="preserve">4000000331</t>
  </si>
  <si>
    <t xml:space="preserve">__import__.res_partner_20000000333</t>
  </si>
  <si>
    <t xml:space="preserve">20000000333</t>
  </si>
  <si>
    <t xml:space="preserve">FILA IBERIA S.L.</t>
  </si>
  <si>
    <t xml:space="preserve">ESB66875329</t>
  </si>
  <si>
    <t xml:space="preserve">AVDA RABASSAIRES 28, 3ª PLANTA</t>
  </si>
  <si>
    <t xml:space="preserve">MOLLET DEL VALLES</t>
  </si>
  <si>
    <t xml:space="preserve">joseantonio.magarinos@filaiberia.com</t>
  </si>
  <si>
    <t xml:space="preserve">935 731 330</t>
  </si>
  <si>
    <t xml:space="preserve">FILA IBERIA</t>
  </si>
  <si>
    <t xml:space="preserve">4000000333</t>
  </si>
  <si>
    <t xml:space="preserve">Tiene que entrar sin cargo 10 unidades de la referencia 453300 - nuestra ref 90303355 para compensar alb. 1F-27822
 En tu pedido XR-796 c1 de 17 agosto. La ref F233900. Va sin coste para compensar tema portes 10 euros.
Carpeta dropbox: https://www.dropbox.com/sh/qcgaen34my08npe/AABgN3_IBtvfoHDoPiNBCoGna?dl=0</t>
  </si>
  <si>
    <t xml:space="preserve">__import__.res_partner_20000000334</t>
  </si>
  <si>
    <t xml:space="preserve">20000000334</t>
  </si>
  <si>
    <t xml:space="preserve">TALENTUM SERVICIOS PROMOCIONALES, S.L.</t>
  </si>
  <si>
    <t xml:space="preserve">ESB83229039</t>
  </si>
  <si>
    <t xml:space="preserve">C/ del Río Tinto, s/n </t>
  </si>
  <si>
    <t xml:space="preserve">Getafe</t>
  </si>
  <si>
    <t xml:space="preserve">915 050 511</t>
  </si>
  <si>
    <t xml:space="preserve">ECOVIDRIO</t>
  </si>
  <si>
    <t xml:space="preserve">4000000334</t>
  </si>
  <si>
    <t xml:space="preserve">__import__.res_partner_20000000336</t>
  </si>
  <si>
    <t xml:space="preserve">20000000336</t>
  </si>
  <si>
    <t xml:space="preserve">MAIS MAB ARTIGOS DE PAPELARIA, S.A.</t>
  </si>
  <si>
    <t xml:space="preserve">PT514168412</t>
  </si>
  <si>
    <t xml:space="preserve">4415-350</t>
  </si>
  <si>
    <t xml:space="preserve">RUA SENHORA DO MONTE, 551</t>
  </si>
  <si>
    <t xml:space="preserve">PEDROSO</t>
  </si>
  <si>
    <t xml:space="preserve">comercial@maismab.pt</t>
  </si>
  <si>
    <t xml:space="preserve">+351 229958865</t>
  </si>
  <si>
    <t xml:space="preserve">4000000336</t>
  </si>
  <si>
    <t xml:space="preserve">__import__.res_partner_20000000337</t>
  </si>
  <si>
    <t xml:space="preserve">20000000337</t>
  </si>
  <si>
    <t xml:space="preserve">AP PHOTO INDUSTRIES, S.L.</t>
  </si>
  <si>
    <t xml:space="preserve">ESB61976429</t>
  </si>
  <si>
    <t xml:space="preserve">Ronda de la Industria, 48</t>
  </si>
  <si>
    <t xml:space="preserve">Barberá del Vallés </t>
  </si>
  <si>
    <t xml:space="preserve">937 292 040</t>
  </si>
  <si>
    <t xml:space="preserve">4000000337</t>
  </si>
  <si>
    <t xml:space="preserve">__import__.res_partner_20000000338</t>
  </si>
  <si>
    <t xml:space="preserve">20000000338</t>
  </si>
  <si>
    <t xml:space="preserve">FERNANDO MEDINA E HIJOS, S.L.</t>
  </si>
  <si>
    <t xml:space="preserve">ESB91469494</t>
  </si>
  <si>
    <t xml:space="preserve">41100</t>
  </si>
  <si>
    <t xml:space="preserve">Pol. Ind. La Estrella</t>
  </si>
  <si>
    <t xml:space="preserve">C/ Pintor, 34</t>
  </si>
  <si>
    <t xml:space="preserve">Coria del Río</t>
  </si>
  <si>
    <t xml:space="preserve">955 776 602</t>
  </si>
  <si>
    <t xml:space="preserve">ROSME</t>
  </si>
  <si>
    <t xml:space="preserve">4000000338</t>
  </si>
  <si>
    <t xml:space="preserve">__import__.res_partner_20000000339</t>
  </si>
  <si>
    <t xml:space="preserve">20000000339</t>
  </si>
  <si>
    <t xml:space="preserve">BONIFACIO, S.A.</t>
  </si>
  <si>
    <t xml:space="preserve">ESA08256638</t>
  </si>
  <si>
    <t xml:space="preserve">08930</t>
  </si>
  <si>
    <t xml:space="preserve">Vía Trajana, 13</t>
  </si>
  <si>
    <t xml:space="preserve">Sant Adrià de Besòs </t>
  </si>
  <si>
    <t xml:space="preserve">info@escolofi.com</t>
  </si>
  <si>
    <t xml:space="preserve">933 145 051</t>
  </si>
  <si>
    <t xml:space="preserve">ESCOLOFI</t>
  </si>
  <si>
    <t xml:space="preserve">4000000339</t>
  </si>
  <si>
    <t xml:space="preserve">__import__.res_partner_20000000343</t>
  </si>
  <si>
    <t xml:space="preserve">20000000343</t>
  </si>
  <si>
    <t xml:space="preserve">DESARROLLOS EMPRESARIALES IGEL, S.L.</t>
  </si>
  <si>
    <t xml:space="preserve">ESB86082344</t>
  </si>
  <si>
    <t xml:space="preserve">C/ Serrano, 222</t>
  </si>
  <si>
    <t xml:space="preserve">912 900 029</t>
  </si>
  <si>
    <t xml:space="preserve">AMBIENTAIR</t>
  </si>
  <si>
    <t xml:space="preserve">4000000343</t>
  </si>
  <si>
    <t xml:space="preserve">__import__.res_partner_20000000344</t>
  </si>
  <si>
    <t xml:space="preserve">20000000344</t>
  </si>
  <si>
    <t xml:space="preserve">ALSO INTERNACIONAL B.V.</t>
  </si>
  <si>
    <t xml:space="preserve">NL803543177B</t>
  </si>
  <si>
    <t xml:space="preserve">6537TL</t>
  </si>
  <si>
    <t xml:space="preserve">WIJCHENSEWEG, 20</t>
  </si>
  <si>
    <t xml:space="preserve">NIJMEGEN</t>
  </si>
  <si>
    <t xml:space="preserve">0031 243333454</t>
  </si>
  <si>
    <t xml:space="preserve">4000000344</t>
  </si>
  <si>
    <t xml:space="preserve">__import__.res_partner_20000000345</t>
  </si>
  <si>
    <t xml:space="preserve">20000000345</t>
  </si>
  <si>
    <t xml:space="preserve">MR. WONDERFUL COMUNICATION, S.L.</t>
  </si>
  <si>
    <t xml:space="preserve">ESB65773400</t>
  </si>
  <si>
    <t xml:space="preserve">AVDA. DIAGONAL, 435, 4-1</t>
  </si>
  <si>
    <t xml:space="preserve">aarce@mrwonderful.com</t>
  </si>
  <si>
    <t xml:space="preserve">MR. WONDERFUL</t>
  </si>
  <si>
    <t xml:space="preserve">4000000345</t>
  </si>
  <si>
    <r>
      <rPr>
        <sz val="11"/>
        <color rgb="FF000000"/>
        <rFont val="Calibri"/>
        <family val="2"/>
        <charset val="1"/>
      </rPr>
      <t xml:space="preserve">TRANSFERENCIA BANCARIA
PORTES CON PEDIDOS INFERIORES A 600 EUROS
</t>
    </r>
    <r>
      <rPr>
        <sz val="10"/>
        <color rgb="FF000000"/>
        <rFont val="Arial"/>
        <family val="2"/>
        <charset val="1"/>
      </rPr>
      <t xml:space="preserve">DESCONTO SOBRE TARIFA +/- 40% SOBRE PVP RECOMENDADO</t>
    </r>
  </si>
  <si>
    <t xml:space="preserve">__import__.res_partner_20000000346</t>
  </si>
  <si>
    <t xml:space="preserve">20000000346</t>
  </si>
  <si>
    <t xml:space="preserve">SMARTBOX GROUP LIMITED</t>
  </si>
  <si>
    <t xml:space="preserve">ESB64194657</t>
  </si>
  <si>
    <t xml:space="preserve">C/ RETAMA, 7 - PL. 9</t>
  </si>
  <si>
    <t xml:space="preserve">652 396 482</t>
  </si>
  <si>
    <t xml:space="preserve">4000000346</t>
  </si>
  <si>
    <t xml:space="preserve">COMISIÓN 10% SOBRE PVP</t>
  </si>
  <si>
    <t xml:space="preserve">__import__.res_partner_20000000347</t>
  </si>
  <si>
    <t xml:space="preserve">20000000347</t>
  </si>
  <si>
    <t xml:space="preserve">LIRAGRAM ESPAÑA, S.L.L.</t>
  </si>
  <si>
    <t xml:space="preserve">ESB83513481</t>
  </si>
  <si>
    <t xml:space="preserve">C/ DEL RIO TER, 7</t>
  </si>
  <si>
    <t xml:space="preserve">POL. EL NOGAL</t>
  </si>
  <si>
    <t xml:space="preserve">916 289 207</t>
  </si>
  <si>
    <t xml:space="preserve">4000000347</t>
  </si>
  <si>
    <t xml:space="preserve">TARIFA - 20%</t>
  </si>
  <si>
    <t xml:space="preserve">__import__.res_partner_20000000348</t>
  </si>
  <si>
    <t xml:space="preserve">20000000348</t>
  </si>
  <si>
    <t xml:space="preserve">LUCIA BE, SLU.</t>
  </si>
  <si>
    <t xml:space="preserve">ESB45851268</t>
  </si>
  <si>
    <t xml:space="preserve">28939</t>
  </si>
  <si>
    <t xml:space="preserve">JUAN DE LA CIERVA, 80</t>
  </si>
  <si>
    <t xml:space="preserve">ARROYOMOLINOS</t>
  </si>
  <si>
    <t xml:space="preserve">910 147 538</t>
  </si>
  <si>
    <t xml:space="preserve">4000000348</t>
  </si>
  <si>
    <t xml:space="preserve">__import__.res_partner_20000000349</t>
  </si>
  <si>
    <t xml:space="preserve">20000000349</t>
  </si>
  <si>
    <t xml:space="preserve">HASBRO EUROPEAN TRADING B.V.</t>
  </si>
  <si>
    <t xml:space="preserve">ESN0036091G</t>
  </si>
  <si>
    <t xml:space="preserve">46950</t>
  </si>
  <si>
    <t xml:space="preserve">ANDARELLA, 1 - BLOQUE 3, PLANTA 5</t>
  </si>
  <si>
    <t xml:space="preserve">XIRIVELLA</t>
  </si>
  <si>
    <t xml:space="preserve">962 719 400</t>
  </si>
  <si>
    <t xml:space="preserve">HASBRO</t>
  </si>
  <si>
    <t xml:space="preserve">4000000349</t>
  </si>
  <si>
    <t xml:space="preserve">__import__.res_partner_20000000350</t>
  </si>
  <si>
    <t xml:space="preserve">20000000350</t>
  </si>
  <si>
    <t xml:space="preserve">KARACTERMANIA, S.L.</t>
  </si>
  <si>
    <t xml:space="preserve">ESB62186622</t>
  </si>
  <si>
    <t xml:space="preserve">BOTANICA, 78</t>
  </si>
  <si>
    <t xml:space="preserve">HOSPITALET DE LLOBREGAT</t>
  </si>
  <si>
    <t xml:space="preserve">934 800 102</t>
  </si>
  <si>
    <t xml:space="preserve">4000000350</t>
  </si>
  <si>
    <t xml:space="preserve">__import__.res_partner_20000000351</t>
  </si>
  <si>
    <t xml:space="preserve">20000000351</t>
  </si>
  <si>
    <t xml:space="preserve">DISET, S.A.</t>
  </si>
  <si>
    <t xml:space="preserve">ESA08261588</t>
  </si>
  <si>
    <t xml:space="preserve">08040</t>
  </si>
  <si>
    <t xml:space="preserve">C, 3 - SECTOR B, ZONA FRANCA</t>
  </si>
  <si>
    <t xml:space="preserve">933 367 462</t>
  </si>
  <si>
    <t xml:space="preserve">4000000351</t>
  </si>
  <si>
    <t xml:space="preserve">__import__.res_partner_20000000352</t>
  </si>
  <si>
    <t xml:space="preserve">20000000352</t>
  </si>
  <si>
    <t xml:space="preserve">FKOFFICIAL, S.L.</t>
  </si>
  <si>
    <t xml:space="preserve">ESB72325350</t>
  </si>
  <si>
    <t xml:space="preserve">11011</t>
  </si>
  <si>
    <t xml:space="preserve">C/ Portugal, 3 (Recinto Interior Zona Franca - Edificio Friking) </t>
  </si>
  <si>
    <t xml:space="preserve">Cádiz</t>
  </si>
  <si>
    <t xml:space="preserve">956 290 192</t>
  </si>
  <si>
    <t xml:space="preserve">4000000352</t>
  </si>
  <si>
    <t xml:space="preserve">__import__.res_partner_20000000353</t>
  </si>
  <si>
    <t xml:space="preserve">20000000353</t>
  </si>
  <si>
    <t xml:space="preserve">COLIBRI SYSTEM ESPAÑA SL.</t>
  </si>
  <si>
    <t xml:space="preserve">ESB64719610</t>
  </si>
  <si>
    <t xml:space="preserve">08960</t>
  </si>
  <si>
    <t xml:space="preserve">C/ Sant Ferran, 3</t>
  </si>
  <si>
    <t xml:space="preserve">Sant Just Desvern</t>
  </si>
  <si>
    <t xml:space="preserve">934 737 815</t>
  </si>
  <si>
    <t xml:space="preserve">COLIBRI</t>
  </si>
  <si>
    <t xml:space="preserve">4000000353</t>
  </si>
  <si>
    <t xml:space="preserve">__import__.res_partner_20000000355</t>
  </si>
  <si>
    <t xml:space="preserve">20000000355</t>
  </si>
  <si>
    <t xml:space="preserve">VINYLANDART, S.L. (VINYL &amp; ART)</t>
  </si>
  <si>
    <t xml:space="preserve">ESB87510327</t>
  </si>
  <si>
    <t xml:space="preserve">Avda. Donostiarra, 23 9º-2</t>
  </si>
  <si>
    <t xml:space="preserve">678 296 175</t>
  </si>
  <si>
    <t xml:space="preserve">4000000355</t>
  </si>
  <si>
    <t xml:space="preserve">__import__.res_partner_20000000356</t>
  </si>
  <si>
    <t xml:space="preserve">20000000356</t>
  </si>
  <si>
    <t xml:space="preserve">FIRST IMPRESSIONS &amp; COCO, S.L. (MUYBRITISH)</t>
  </si>
  <si>
    <t xml:space="preserve">ESB62028535</t>
  </si>
  <si>
    <t xml:space="preserve">Calaf, 31</t>
  </si>
  <si>
    <t xml:space="preserve">934 850 017</t>
  </si>
  <si>
    <t xml:space="preserve">4000000356</t>
  </si>
  <si>
    <t xml:space="preserve">__import__.res_partner_20000000358</t>
  </si>
  <si>
    <t xml:space="preserve">20000000358</t>
  </si>
  <si>
    <t xml:space="preserve">SCRIBERE &amp; DISCERE, S.L.</t>
  </si>
  <si>
    <t xml:space="preserve">ESB26529701</t>
  </si>
  <si>
    <t xml:space="preserve">26006</t>
  </si>
  <si>
    <t xml:space="preserve">Av. De Aragón, 16  Nave 15</t>
  </si>
  <si>
    <t xml:space="preserve">Logroño</t>
  </si>
  <si>
    <t xml:space="preserve">info@lamelalogistica.com</t>
  </si>
  <si>
    <t xml:space="preserve">941 894 955</t>
  </si>
  <si>
    <t xml:space="preserve">LAMELA</t>
  </si>
  <si>
    <t xml:space="preserve">4000000358</t>
  </si>
  <si>
    <t xml:space="preserve">__import__.res_partner_20000000359</t>
  </si>
  <si>
    <t xml:space="preserve">20000000359</t>
  </si>
  <si>
    <t xml:space="preserve">YOSIQUESÉ, S.L.</t>
  </si>
  <si>
    <t xml:space="preserve">ESB14929491</t>
  </si>
  <si>
    <t xml:space="preserve">14400</t>
  </si>
  <si>
    <t xml:space="preserve">C/ Almería, 57</t>
  </si>
  <si>
    <t xml:space="preserve">Pozoblanco</t>
  </si>
  <si>
    <t xml:space="preserve">918 282 144</t>
  </si>
  <si>
    <t xml:space="preserve">4000000359</t>
  </si>
  <si>
    <t xml:space="preserve">__import__.res_partner_20000000360</t>
  </si>
  <si>
    <t xml:space="preserve">20000000360</t>
  </si>
  <si>
    <t xml:space="preserve">ESKOL ARENART, S.L.</t>
  </si>
  <si>
    <t xml:space="preserve">ESB17919762</t>
  </si>
  <si>
    <t xml:space="preserve">17483</t>
  </si>
  <si>
    <t xml:space="preserve">C/ Eres, 8</t>
  </si>
  <si>
    <t xml:space="preserve">Bascara</t>
  </si>
  <si>
    <t xml:space="preserve">972 672 924</t>
  </si>
  <si>
    <t xml:space="preserve">4000000360</t>
  </si>
  <si>
    <t xml:space="preserve">__import__.res_partner_20000000363</t>
  </si>
  <si>
    <t xml:space="preserve">20000000363</t>
  </si>
  <si>
    <t xml:space="preserve">MULTIOCIO EVOÉ, S.L.</t>
  </si>
  <si>
    <t xml:space="preserve">ESB83915876</t>
  </si>
  <si>
    <t xml:space="preserve">C/ Florida, 24 Parque Empresarial Villapark</t>
  </si>
  <si>
    <t xml:space="preserve">913 151 525</t>
  </si>
  <si>
    <t xml:space="preserve">4000000363</t>
  </si>
  <si>
    <t xml:space="preserve">__import__.res_partner_20000000365</t>
  </si>
  <si>
    <t xml:space="preserve">20000000365</t>
  </si>
  <si>
    <t xml:space="preserve">PEDRITA PARKER, S.L.</t>
  </si>
  <si>
    <t xml:space="preserve">ESB93409118</t>
  </si>
  <si>
    <t xml:space="preserve">29790</t>
  </si>
  <si>
    <t xml:space="preserve">Urb. La Esperanza, Cortijo El Soto, 1</t>
  </si>
  <si>
    <t xml:space="preserve">Benajarafe</t>
  </si>
  <si>
    <t xml:space="preserve">952 515 341</t>
  </si>
  <si>
    <t xml:space="preserve">4000000365</t>
  </si>
  <si>
    <t xml:space="preserve">__import__.res_partner_20000000366</t>
  </si>
  <si>
    <t xml:space="preserve">20000000366</t>
  </si>
  <si>
    <t xml:space="preserve">LOGISTA LIBROS, S.L</t>
  </si>
  <si>
    <t xml:space="preserve">ESB84537315</t>
  </si>
  <si>
    <t xml:space="preserve">19171</t>
  </si>
  <si>
    <t xml:space="preserve">AV. CASTILLA LA MANCHA, S/N.-  P.I. LA QUINTA</t>
  </si>
  <si>
    <t xml:space="preserve">CABANILLAS DEL CAMPO</t>
  </si>
  <si>
    <t xml:space="preserve">949 337 533</t>
  </si>
  <si>
    <t xml:space="preserve">4000000366</t>
  </si>
  <si>
    <t xml:space="preserve">__import__.res_partner_20000000367</t>
  </si>
  <si>
    <t xml:space="preserve">20000000367</t>
  </si>
  <si>
    <t xml:space="preserve">FABRI-PAPEL, S.L.U.</t>
  </si>
  <si>
    <t xml:space="preserve">ESB34239392</t>
  </si>
  <si>
    <t xml:space="preserve">48170</t>
  </si>
  <si>
    <t xml:space="preserve">POL. UGALDEGUREN, 2 - PABELLON 13-1</t>
  </si>
  <si>
    <t xml:space="preserve">ZAMUDIO</t>
  </si>
  <si>
    <t xml:space="preserve">944 520 950</t>
  </si>
  <si>
    <t xml:space="preserve">FABRISA</t>
  </si>
  <si>
    <t xml:space="preserve">4000000367</t>
  </si>
  <si>
    <t xml:space="preserve">https://olo3.apli.com/login
102933
dous2011
</t>
  </si>
  <si>
    <t xml:space="preserve">__import__.res_partner_20000000368</t>
  </si>
  <si>
    <t xml:space="preserve">20000000368</t>
  </si>
  <si>
    <t xml:space="preserve">VERMES B.V. (24HD, S.L.)</t>
  </si>
  <si>
    <t xml:space="preserve">ESB67162230</t>
  </si>
  <si>
    <t xml:space="preserve">08403</t>
  </si>
  <si>
    <t xml:space="preserve">AV. SANT JULIA, 229</t>
  </si>
  <si>
    <t xml:space="preserve">GRANOLLERS</t>
  </si>
  <si>
    <t xml:space="preserve">938 404 022</t>
  </si>
  <si>
    <t xml:space="preserve">4000000368</t>
  </si>
  <si>
    <t xml:space="preserve">__import__.res_partner_20000000369</t>
  </si>
  <si>
    <t xml:space="preserve">20000000369</t>
  </si>
  <si>
    <t xml:space="preserve">DAHI JALCON, S.L.</t>
  </si>
  <si>
    <t xml:space="preserve">ESB85906659</t>
  </si>
  <si>
    <t xml:space="preserve">28813</t>
  </si>
  <si>
    <t xml:space="preserve">DUBLIN, 11 NAVE 6</t>
  </si>
  <si>
    <t xml:space="preserve">TORRES DE LA ALAMEDA</t>
  </si>
  <si>
    <t xml:space="preserve">comercial@dahi.es</t>
  </si>
  <si>
    <t xml:space="preserve">918 655 160</t>
  </si>
  <si>
    <t xml:space="preserve">4000000369</t>
  </si>
  <si>
    <t xml:space="preserve">PORTES PAGADOS 600€</t>
  </si>
  <si>
    <t xml:space="preserve">__import__.res_partner_20000000370</t>
  </si>
  <si>
    <t xml:space="preserve">20000000370</t>
  </si>
  <si>
    <t xml:space="preserve">DESIGNER SOUVENIRS, S.L.</t>
  </si>
  <si>
    <t xml:space="preserve">ESB86509056</t>
  </si>
  <si>
    <t xml:space="preserve">28028</t>
  </si>
  <si>
    <t xml:space="preserve">COSLADA, 34 4ºD</t>
  </si>
  <si>
    <t xml:space="preserve">910 333 604</t>
  </si>
  <si>
    <t xml:space="preserve">4000000370</t>
  </si>
  <si>
    <t xml:space="preserve">__import__.res_partner_20000000371</t>
  </si>
  <si>
    <t xml:space="preserve">20000000371</t>
  </si>
  <si>
    <t xml:space="preserve">BANBOTOYS, S.L.</t>
  </si>
  <si>
    <t xml:space="preserve">ESB66082074</t>
  </si>
  <si>
    <t xml:space="preserve">BEETHOVEN, 15 2º 1ª</t>
  </si>
  <si>
    <t xml:space="preserve">931 600 009</t>
  </si>
  <si>
    <t xml:space="preserve">4000000371</t>
  </si>
  <si>
    <t xml:space="preserve">__import__.res_partner_20000000372</t>
  </si>
  <si>
    <t xml:space="preserve">20000000372</t>
  </si>
  <si>
    <t xml:space="preserve">TOTAL JUGGLING, S.R.L.</t>
  </si>
  <si>
    <t xml:space="preserve">IT0423432026</t>
  </si>
  <si>
    <t xml:space="preserve">30020</t>
  </si>
  <si>
    <t xml:space="preserve">VIA METTEI, 1/C, MARCON</t>
  </si>
  <si>
    <t xml:space="preserve">VENECIA</t>
  </si>
  <si>
    <t xml:space="preserve">4000000372</t>
  </si>
  <si>
    <t xml:space="preserve">__import__.res_partner_20000000375</t>
  </si>
  <si>
    <t xml:space="preserve">20000000375</t>
  </si>
  <si>
    <t xml:space="preserve">ALIATAR REPRESENTACIONES, S.L.</t>
  </si>
  <si>
    <t xml:space="preserve">ESB87751962</t>
  </si>
  <si>
    <t xml:space="preserve">RAFAEL SALAZAR ALONSO, 16</t>
  </si>
  <si>
    <t xml:space="preserve">910 559 589</t>
  </si>
  <si>
    <t xml:space="preserve">4000000375</t>
  </si>
  <si>
    <t xml:space="preserve">__import__.res_partner_20000000376</t>
  </si>
  <si>
    <t xml:space="preserve">20000000376</t>
  </si>
  <si>
    <t xml:space="preserve">EDITORA OQO, S.L.</t>
  </si>
  <si>
    <t xml:space="preserve">ESB36494870</t>
  </si>
  <si>
    <t xml:space="preserve">36162</t>
  </si>
  <si>
    <t xml:space="preserve">ALEMANIA, 70</t>
  </si>
  <si>
    <t xml:space="preserve">986 109 270</t>
  </si>
  <si>
    <t xml:space="preserve">4000000376</t>
  </si>
  <si>
    <t xml:space="preserve">__import__.res_partner_20000000377</t>
  </si>
  <si>
    <t xml:space="preserve">20000000377</t>
  </si>
  <si>
    <t xml:space="preserve">FENIX INTERNATIONAL TRADE COMPANY, S.L.U.</t>
  </si>
  <si>
    <t xml:space="preserve">ESB40545204</t>
  </si>
  <si>
    <t xml:space="preserve">46910</t>
  </si>
  <si>
    <t xml:space="preserve">ISAAC PERAL, 48</t>
  </si>
  <si>
    <t xml:space="preserve">ALFAFAR</t>
  </si>
  <si>
    <t xml:space="preserve">612 582 631</t>
  </si>
  <si>
    <t xml:space="preserve">4000000377</t>
  </si>
  <si>
    <t xml:space="preserve">__import__.res_partner_20000000378</t>
  </si>
  <si>
    <t xml:space="preserve">20000000378</t>
  </si>
  <si>
    <t xml:space="preserve">MUY ORIGINAL DESIGN ZONE, S.L.</t>
  </si>
  <si>
    <t xml:space="preserve">ESB19298926</t>
  </si>
  <si>
    <t xml:space="preserve">C/ Méjico, 37, P-9</t>
  </si>
  <si>
    <t xml:space="preserve">Pol. Ind. El Balconcillo</t>
  </si>
  <si>
    <t xml:space="preserve">Guadalajara</t>
  </si>
  <si>
    <t xml:space="preserve">949 382 095</t>
  </si>
  <si>
    <t xml:space="preserve">4000000378</t>
  </si>
  <si>
    <t xml:space="preserve">__import__.res_partner_20000000380</t>
  </si>
  <si>
    <t xml:space="preserve">20000000380</t>
  </si>
  <si>
    <t xml:space="preserve">OPI BRANDS DISTRIBUCIONES, S.L.</t>
  </si>
  <si>
    <t xml:space="preserve">ESB88141601</t>
  </si>
  <si>
    <t xml:space="preserve">28046</t>
  </si>
  <si>
    <t xml:space="preserve">Paseo de la Castellana, 40  8ª Planta</t>
  </si>
  <si>
    <t xml:space="preserve">669 007 451</t>
  </si>
  <si>
    <t xml:space="preserve">OPI BRANDS</t>
  </si>
  <si>
    <t xml:space="preserve">4000000380</t>
  </si>
  <si>
    <t xml:space="preserve">__import__.res_partner_20000000381</t>
  </si>
  <si>
    <t xml:space="preserve">20000000381</t>
  </si>
  <si>
    <t xml:space="preserve">NEW IMPORT LICENCIAS, S.L.</t>
  </si>
  <si>
    <t xml:space="preserve">ESB54761440</t>
  </si>
  <si>
    <t xml:space="preserve">03205</t>
  </si>
  <si>
    <t xml:space="preserve">Elche</t>
  </si>
  <si>
    <t xml:space="preserve">607 956 334</t>
  </si>
  <si>
    <t xml:space="preserve">4000000381</t>
  </si>
  <si>
    <t xml:space="preserve">__import__.res_partner_20000000382</t>
  </si>
  <si>
    <t xml:space="preserve">20000000382</t>
  </si>
  <si>
    <t xml:space="preserve">CLÉOPÂTRE COLLES &amp; COULEURS, SA.</t>
  </si>
  <si>
    <t xml:space="preserve">FR0043047881</t>
  </si>
  <si>
    <t xml:space="preserve">37510</t>
  </si>
  <si>
    <t xml:space="preserve">12, boulevard de Chinon</t>
  </si>
  <si>
    <t xml:space="preserve">Ballan Miré </t>
  </si>
  <si>
    <t xml:space="preserve">FR</t>
  </si>
  <si>
    <t xml:space="preserve">00330-247801806</t>
  </si>
  <si>
    <t xml:space="preserve">4000000382</t>
  </si>
  <si>
    <t xml:space="preserve">__import__.res_partner_20000000383</t>
  </si>
  <si>
    <t xml:space="preserve">20000000383</t>
  </si>
  <si>
    <t xml:space="preserve">EXTENDED PLAY, S.L.</t>
  </si>
  <si>
    <t xml:space="preserve">ESB87303269</t>
  </si>
  <si>
    <t xml:space="preserve">28840</t>
  </si>
  <si>
    <t xml:space="preserve">C/ Segura 1, Nave 11</t>
  </si>
  <si>
    <t xml:space="preserve">Mejorada del Campo</t>
  </si>
  <si>
    <t xml:space="preserve">918 643 857</t>
  </si>
  <si>
    <t xml:space="preserve">4000000383</t>
  </si>
  <si>
    <t xml:space="preserve">__import__.res_partner_20000000384</t>
  </si>
  <si>
    <t xml:space="preserve">20000000384</t>
  </si>
  <si>
    <t xml:space="preserve">RESETEA GESTION RESPONSABLE, S.L.</t>
  </si>
  <si>
    <t xml:space="preserve">ESB27805985</t>
  </si>
  <si>
    <t xml:space="preserve">36350</t>
  </si>
  <si>
    <t xml:space="preserve">C/ Islas Estelas, 8</t>
  </si>
  <si>
    <t xml:space="preserve">Nigrán</t>
  </si>
  <si>
    <t xml:space="preserve">986 116 321</t>
  </si>
  <si>
    <t xml:space="preserve">4000000384</t>
  </si>
  <si>
    <t xml:space="preserve">__import__.res_partner_20000000386</t>
  </si>
  <si>
    <t xml:space="preserve">20000000386</t>
  </si>
  <si>
    <t xml:space="preserve">OLD TEDDY’S COMPANY, S.L.</t>
  </si>
  <si>
    <t xml:space="preserve">ESB60595444</t>
  </si>
  <si>
    <t xml:space="preserve">08181</t>
  </si>
  <si>
    <t xml:space="preserve">C/ Can Peric, 18 Nau E</t>
  </si>
  <si>
    <t xml:space="preserve">Sentmenat</t>
  </si>
  <si>
    <t xml:space="preserve">937 154 752</t>
  </si>
  <si>
    <t xml:space="preserve">4000000386</t>
  </si>
  <si>
    <t xml:space="preserve">__import__.res_partner_20000000387</t>
  </si>
  <si>
    <t xml:space="preserve">20000000387</t>
  </si>
  <si>
    <t xml:space="preserve">TEAM IOCA ESPAÑA S.L.</t>
  </si>
  <si>
    <t xml:space="preserve">ESB88059886</t>
  </si>
  <si>
    <t xml:space="preserve">C/ Claudio Coello, 115  1ºC Izda.</t>
  </si>
  <si>
    <t xml:space="preserve">911 997 157</t>
  </si>
  <si>
    <t xml:space="preserve">4000000387</t>
  </si>
  <si>
    <t xml:space="preserve">__import__.res_partner_20000000388</t>
  </si>
  <si>
    <t xml:space="preserve">20000000388</t>
  </si>
  <si>
    <t xml:space="preserve">PLAYMOBIL, S.A.U.</t>
  </si>
  <si>
    <t xml:space="preserve">ESA03126935</t>
  </si>
  <si>
    <t xml:space="preserve">03430</t>
  </si>
  <si>
    <t xml:space="preserve">Crta. Alcoy-Yecla, km. 26,2</t>
  </si>
  <si>
    <t xml:space="preserve">Onil </t>
  </si>
  <si>
    <t xml:space="preserve">966 557 843</t>
  </si>
  <si>
    <t xml:space="preserve">4000000388</t>
  </si>
  <si>
    <t xml:space="preserve">__import__.res_partner_20000000389</t>
  </si>
  <si>
    <t xml:space="preserve">20000000389</t>
  </si>
  <si>
    <t xml:space="preserve">THIRD ROUND, S.L.</t>
  </si>
  <si>
    <t xml:space="preserve">ESB24670952</t>
  </si>
  <si>
    <t xml:space="preserve">24003</t>
  </si>
  <si>
    <t xml:space="preserve">Hospicio, 4 bajo </t>
  </si>
  <si>
    <t xml:space="preserve">León</t>
  </si>
  <si>
    <t xml:space="preserve">987 002 888</t>
  </si>
  <si>
    <t xml:space="preserve">FISURA</t>
  </si>
  <si>
    <t xml:space="preserve">4000000389</t>
  </si>
  <si>
    <t xml:space="preserve">TARIFA - 8%</t>
  </si>
  <si>
    <t xml:space="preserve">__import__.res_partner_20000000390</t>
  </si>
  <si>
    <t xml:space="preserve">20000000390</t>
  </si>
  <si>
    <t xml:space="preserve">INCA HAIR JEWELLERY, S.L.</t>
  </si>
  <si>
    <t xml:space="preserve">ESB05115159</t>
  </si>
  <si>
    <t xml:space="preserve">05194</t>
  </si>
  <si>
    <t xml:space="preserve">Barcelona, 66 Polígono Industrial</t>
  </si>
  <si>
    <t xml:space="preserve">Vicolozano </t>
  </si>
  <si>
    <t xml:space="preserve">920 259 805</t>
  </si>
  <si>
    <t xml:space="preserve">4000000390</t>
  </si>
  <si>
    <t xml:space="preserve">__import__.res_partner_20000000391</t>
  </si>
  <si>
    <t xml:space="preserve">20000000391</t>
  </si>
  <si>
    <t xml:space="preserve">UO ESTUDIO, S.L.</t>
  </si>
  <si>
    <t xml:space="preserve">ESB98758204</t>
  </si>
  <si>
    <t xml:space="preserve">46006</t>
  </si>
  <si>
    <t xml:space="preserve">Consulat de Mar, 5 pta. 1</t>
  </si>
  <si>
    <t xml:space="preserve">Valencia </t>
  </si>
  <si>
    <t xml:space="preserve">961 001 318</t>
  </si>
  <si>
    <t xml:space="preserve">4000000391</t>
  </si>
  <si>
    <t xml:space="preserve">Descuento sobre tarifa: 
• Papelería: -50 % 
• Regalo y agenda: -47 %
</t>
  </si>
  <si>
    <t xml:space="preserve">__import__.res_partner_20000000392</t>
  </si>
  <si>
    <t xml:space="preserve">20000000392</t>
  </si>
  <si>
    <t xml:space="preserve">ATLANTIS INTERNACIONAL, S.L.</t>
  </si>
  <si>
    <t xml:space="preserve">ESB59131235</t>
  </si>
  <si>
    <t xml:space="preserve">Crom, 53</t>
  </si>
  <si>
    <t xml:space="preserve">L'Hospitalet de Llobregat </t>
  </si>
  <si>
    <t xml:space="preserve">933 369 797</t>
  </si>
  <si>
    <t xml:space="preserve">4000000392</t>
  </si>
  <si>
    <t xml:space="preserve">__import__.res_partner_20000000395</t>
  </si>
  <si>
    <t xml:space="preserve">20000000395</t>
  </si>
  <si>
    <t xml:space="preserve">CHARUCA WORLD, S.L.</t>
  </si>
  <si>
    <t xml:space="preserve">ESB65311466</t>
  </si>
  <si>
    <t xml:space="preserve">Blasco de Garay, 55</t>
  </si>
  <si>
    <t xml:space="preserve">926 817 088</t>
  </si>
  <si>
    <t xml:space="preserve">4000000395</t>
  </si>
  <si>
    <t xml:space="preserve">__import__.res_partner_20000000396</t>
  </si>
  <si>
    <t xml:space="preserve">20000000396</t>
  </si>
  <si>
    <t xml:space="preserve">ENJOY TECH, S.L.</t>
  </si>
  <si>
    <t xml:space="preserve">ESB10492536</t>
  </si>
  <si>
    <t xml:space="preserve">10430</t>
  </si>
  <si>
    <t xml:space="preserve">C/ Barrio Nuevo, 24</t>
  </si>
  <si>
    <t xml:space="preserve">CACERES</t>
  </si>
  <si>
    <t xml:space="preserve">618971045</t>
  </si>
  <si>
    <t xml:space="preserve">4000000396</t>
  </si>
  <si>
    <t xml:space="preserve">__import__.res_partner_20000000397</t>
  </si>
  <si>
    <t xml:space="preserve">20000000397</t>
  </si>
  <si>
    <t xml:space="preserve">GRUPO SIEMPRECLEAN, S.L.</t>
  </si>
  <si>
    <t xml:space="preserve">ESB88607932</t>
  </si>
  <si>
    <t xml:space="preserve">28232</t>
  </si>
  <si>
    <t xml:space="preserve">C/ Dublín, 17C</t>
  </si>
  <si>
    <t xml:space="preserve">LAS ROZAS</t>
  </si>
  <si>
    <t xml:space="preserve">911 407 694</t>
  </si>
  <si>
    <t xml:space="preserve">4000000397</t>
  </si>
  <si>
    <t xml:space="preserve">__import__.res_partner_20000000398</t>
  </si>
  <si>
    <t xml:space="preserve">20000000398</t>
  </si>
  <si>
    <t xml:space="preserve">MY OTHER ME FUN COMPANY, S.L.</t>
  </si>
  <si>
    <t xml:space="preserve">ESB73808891</t>
  </si>
  <si>
    <t xml:space="preserve">03440</t>
  </si>
  <si>
    <t xml:space="preserve">Av. Del Juguete, 20 </t>
  </si>
  <si>
    <t xml:space="preserve">966 554 072</t>
  </si>
  <si>
    <t xml:space="preserve">4000000398</t>
  </si>
  <si>
    <t xml:space="preserve">__import__.res_partner_20000000399</t>
  </si>
  <si>
    <t xml:space="preserve">20000000399</t>
  </si>
  <si>
    <t xml:space="preserve">KEESING SPAIN, S.L. </t>
  </si>
  <si>
    <t xml:space="preserve">ESB87452660</t>
  </si>
  <si>
    <t xml:space="preserve">C/ Fuerteventura, 4 Despacho 1-3</t>
  </si>
  <si>
    <t xml:space="preserve">910 604 478</t>
  </si>
  <si>
    <t xml:space="preserve">4000000399</t>
  </si>
  <si>
    <t xml:space="preserve">__import__.res_partner_20000000400</t>
  </si>
  <si>
    <t xml:space="preserve">20000000400</t>
  </si>
  <si>
    <t xml:space="preserve">BORDADOS TREBOR, S.L.</t>
  </si>
  <si>
    <t xml:space="preserve">ESB81690083</t>
  </si>
  <si>
    <t xml:space="preserve">28019</t>
  </si>
  <si>
    <t xml:space="preserve">C/ Nicolás Morales, 38-40 planta 1 nave 7 </t>
  </si>
  <si>
    <t xml:space="preserve">912 257 788</t>
  </si>
  <si>
    <t xml:space="preserve">4000000400</t>
  </si>
  <si>
    <t xml:space="preserve">__import__.res_partner_20000000401</t>
  </si>
  <si>
    <t xml:space="preserve">20000000401</t>
  </si>
  <si>
    <t xml:space="preserve">DILEOFFICE, S.L.</t>
  </si>
  <si>
    <t xml:space="preserve">ESB53601811</t>
  </si>
  <si>
    <t xml:space="preserve">Pol Ind. II, Avda. de Valencia s/n </t>
  </si>
  <si>
    <t xml:space="preserve">965 561 177</t>
  </si>
  <si>
    <t xml:space="preserve">4000000401</t>
  </si>
  <si>
    <r>
      <rPr>
        <sz val="11"/>
        <color rgb="FF000000"/>
        <rFont val="Calibri"/>
        <family val="2"/>
        <charset val="1"/>
      </rPr>
      <t xml:space="preserve">Dto 48%
</t>
    </r>
    <r>
      <rPr>
        <sz val="10"/>
        <color rgb="FF000000"/>
        <rFont val="Arial"/>
        <family val="2"/>
        <charset val="1"/>
      </rPr>
      <t xml:space="preserve">PEDIDOS INFERIORES A 150€  15€ DE PORTES.</t>
    </r>
  </si>
  <si>
    <t xml:space="preserve">__import__.res_partner_20000000402</t>
  </si>
  <si>
    <t xml:space="preserve">20000000402</t>
  </si>
  <si>
    <t xml:space="preserve">HUGWORLD, S.L. (CRISTALINAS)</t>
  </si>
  <si>
    <t xml:space="preserve">ESB84048032</t>
  </si>
  <si>
    <t xml:space="preserve">28023</t>
  </si>
  <si>
    <t xml:space="preserve">Ochandiano, 6 - 2ª Planta</t>
  </si>
  <si>
    <t xml:space="preserve">918 922 836</t>
  </si>
  <si>
    <t xml:space="preserve">4000000402</t>
  </si>
  <si>
    <t xml:space="preserve">__import__.res_partner_20000000403</t>
  </si>
  <si>
    <t xml:space="preserve">20000000403</t>
  </si>
  <si>
    <t xml:space="preserve">TEMPEL, S.A.</t>
  </si>
  <si>
    <t xml:space="preserve">ESA08526345</t>
  </si>
  <si>
    <t xml:space="preserve">08097</t>
  </si>
  <si>
    <t xml:space="preserve">C/ Cobalto, 4 </t>
  </si>
  <si>
    <t xml:space="preserve">Hospitalet del Llobregat</t>
  </si>
  <si>
    <t xml:space="preserve">936 003 600</t>
  </si>
  <si>
    <t xml:space="preserve">4000000403</t>
  </si>
  <si>
    <t xml:space="preserve">__import__.res_partner_20000000404</t>
  </si>
  <si>
    <t xml:space="preserve">20000000404</t>
  </si>
  <si>
    <t xml:space="preserve">LAST LEVEL DISTRIBUCIONES, S.L.</t>
  </si>
  <si>
    <t xml:space="preserve">ESB91686816</t>
  </si>
  <si>
    <t xml:space="preserve">41008</t>
  </si>
  <si>
    <t xml:space="preserve">C/ Destornillador, Nave 2 Parcela 5</t>
  </si>
  <si>
    <t xml:space="preserve">Pol. Ind. Store</t>
  </si>
  <si>
    <t xml:space="preserve">954 368 866</t>
  </si>
  <si>
    <t xml:space="preserve">4000000404</t>
  </si>
  <si>
    <t xml:space="preserve">__import__.res_partner_20000000405</t>
  </si>
  <si>
    <t xml:space="preserve">20000000405</t>
  </si>
  <si>
    <t xml:space="preserve">KOOL SPORT MATERIAL, S.L.U.</t>
  </si>
  <si>
    <t xml:space="preserve">ESB83157214</t>
  </si>
  <si>
    <t xml:space="preserve">Puerto de Navacerrada, 71</t>
  </si>
  <si>
    <t xml:space="preserve">Móstoles</t>
  </si>
  <si>
    <t xml:space="preserve">916 658 598</t>
  </si>
  <si>
    <t xml:space="preserve">4000000405</t>
  </si>
  <si>
    <t xml:space="preserve">__import__.res_partner_20000000406</t>
  </si>
  <si>
    <t xml:space="preserve">20000000406</t>
  </si>
  <si>
    <t xml:space="preserve">TRATAMIENTOS DE AGUA VDF, S.L. (IONFILTER) </t>
  </si>
  <si>
    <t xml:space="preserve">ESB60326279</t>
  </si>
  <si>
    <t xml:space="preserve">08480</t>
  </si>
  <si>
    <t xml:space="preserve">C/ Aiguafreda, 8 </t>
  </si>
  <si>
    <t xml:space="preserve">Pol. Ind. Almendra Park</t>
  </si>
  <si>
    <t xml:space="preserve">Almendra del Vallès </t>
  </si>
  <si>
    <t xml:space="preserve">936 934 300</t>
  </si>
  <si>
    <t xml:space="preserve">4000000406</t>
  </si>
  <si>
    <t xml:space="preserve">__import__.res_partner_20000000407</t>
  </si>
  <si>
    <t xml:space="preserve">20000000407</t>
  </si>
  <si>
    <t xml:space="preserve">EZEDICHI, S.L.</t>
  </si>
  <si>
    <t xml:space="preserve">ESB96370564</t>
  </si>
  <si>
    <t xml:space="preserve">C/ Aviación, 20</t>
  </si>
  <si>
    <t xml:space="preserve">Polig. Ind. Aeropuerto</t>
  </si>
  <si>
    <t xml:space="preserve">Manises</t>
  </si>
  <si>
    <t xml:space="preserve">961 543 887</t>
  </si>
  <si>
    <t xml:space="preserve">4000000407</t>
  </si>
  <si>
    <t xml:space="preserve">usuario: info@doustrazos.com
chave: Dous2011</t>
  </si>
  <si>
    <t xml:space="preserve">__import__.res_partner_20000000409</t>
  </si>
  <si>
    <t xml:space="preserve">20000000409</t>
  </si>
  <si>
    <t xml:space="preserve">COAS SPORT TRADE, S.A.</t>
  </si>
  <si>
    <t xml:space="preserve">ESA80955362</t>
  </si>
  <si>
    <t xml:space="preserve">28320</t>
  </si>
  <si>
    <t xml:space="preserve">C/ Arroyo Del Culebro, 12 Nave 2 </t>
  </si>
  <si>
    <t xml:space="preserve">Pol. Ind. Las Arenas</t>
  </si>
  <si>
    <t xml:space="preserve">Pinto </t>
  </si>
  <si>
    <t xml:space="preserve">fmozas@grupocoas.es</t>
  </si>
  <si>
    <t xml:space="preserve">916 926 730 </t>
  </si>
  <si>
    <t xml:space="preserve">ES6221006428261300120964</t>
  </si>
  <si>
    <t xml:space="preserve">COASPORT</t>
  </si>
  <si>
    <t xml:space="preserve">4000000409</t>
  </si>
  <si>
    <t xml:space="preserve">__import__.res_partner_20000000410</t>
  </si>
  <si>
    <t xml:space="preserve">20000000410</t>
  </si>
  <si>
    <t xml:space="preserve">BULLBOAT SPAIN, S.L.</t>
  </si>
  <si>
    <t xml:space="preserve">ESB85277689</t>
  </si>
  <si>
    <t xml:space="preserve">28004</t>
  </si>
  <si>
    <t xml:space="preserve">ALMIRANTE, 9 5ºIZD</t>
  </si>
  <si>
    <t xml:space="preserve">914 310 256</t>
  </si>
  <si>
    <t xml:space="preserve">4000000410</t>
  </si>
  <si>
    <t xml:space="preserve">__import__.res_partner_20000000411</t>
  </si>
  <si>
    <t xml:space="preserve">20000000411</t>
  </si>
  <si>
    <t xml:space="preserve">STOR, S.L.</t>
  </si>
  <si>
    <t xml:space="preserve">ESB28256873</t>
  </si>
  <si>
    <t xml:space="preserve">28010</t>
  </si>
  <si>
    <t xml:space="preserve">Pº GENERAL MARTINEZ CAMPOS, 53</t>
  </si>
  <si>
    <t xml:space="preserve">911 213 450</t>
  </si>
  <si>
    <t xml:space="preserve">4000000411</t>
  </si>
  <si>
    <t xml:space="preserve">__import__.res_partner_20000000412</t>
  </si>
  <si>
    <t xml:space="preserve">20000000412</t>
  </si>
  <si>
    <t xml:space="preserve">MISS WOOD BARCELONA, S.L.</t>
  </si>
  <si>
    <t xml:space="preserve">ESB66726050</t>
  </si>
  <si>
    <t xml:space="preserve">08520</t>
  </si>
  <si>
    <t xml:space="preserve">C/ Anna Maria Mogas, 13</t>
  </si>
  <si>
    <t xml:space="preserve">Les Franqueses del Vallès</t>
  </si>
  <si>
    <t xml:space="preserve">602 353 684</t>
  </si>
  <si>
    <t xml:space="preserve">4000000412</t>
  </si>
  <si>
    <t xml:space="preserve">__import__.res_partner_20000000414</t>
  </si>
  <si>
    <t xml:space="preserve">20000000414</t>
  </si>
  <si>
    <t xml:space="preserve">CONSUMO INFORMÁTICO, S.L. (DBRANDS)</t>
  </si>
  <si>
    <t xml:space="preserve">ESB58844259</t>
  </si>
  <si>
    <t xml:space="preserve">Primer de Maig, 5 Pol. Ind, Carrer d'Armenteres </t>
  </si>
  <si>
    <t xml:space="preserve">934 808 790</t>
  </si>
  <si>
    <t xml:space="preserve">4000000414</t>
  </si>
  <si>
    <t xml:space="preserve">__import__.res_partner_20000000416</t>
  </si>
  <si>
    <t xml:space="preserve">20000000416</t>
  </si>
  <si>
    <t xml:space="preserve">ZACATRUS, S.L.</t>
  </si>
  <si>
    <t xml:space="preserve">ESB86133188</t>
  </si>
  <si>
    <t xml:space="preserve">28015</t>
  </si>
  <si>
    <t xml:space="preserve">C/ Rodríguez San Pedro, 13 1º Oficina 10</t>
  </si>
  <si>
    <t xml:space="preserve">910 767 606</t>
  </si>
  <si>
    <t xml:space="preserve">4000000416</t>
  </si>
  <si>
    <t xml:space="preserve">__import__.res_partner_20000000417</t>
  </si>
  <si>
    <t xml:space="preserve">20000000417</t>
  </si>
  <si>
    <t xml:space="preserve">IMAGILAND, S.L.</t>
  </si>
  <si>
    <t xml:space="preserve">ESB42838631</t>
  </si>
  <si>
    <t xml:space="preserve">20180</t>
  </si>
  <si>
    <t xml:space="preserve">Pol. Lintzirin Gaina, parcela B3</t>
  </si>
  <si>
    <t xml:space="preserve">Oyanzun</t>
  </si>
  <si>
    <t xml:space="preserve">911 992 725</t>
  </si>
  <si>
    <t xml:space="preserve">4000000417</t>
  </si>
  <si>
    <t xml:space="preserve">__import__.res_partner_20000000419</t>
  </si>
  <si>
    <t xml:space="preserve">20000000419</t>
  </si>
  <si>
    <t xml:space="preserve">JOSE ANTONIO RUIS CORRAL</t>
  </si>
  <si>
    <t xml:space="preserve">ES03814444D</t>
  </si>
  <si>
    <t xml:space="preserve">45162</t>
  </si>
  <si>
    <t xml:space="preserve">Carolina, 3 Portal B</t>
  </si>
  <si>
    <t xml:space="preserve">Noez</t>
  </si>
  <si>
    <t xml:space="preserve">info@thegreatmoustache.com</t>
  </si>
  <si>
    <t xml:space="preserve">687 474 338</t>
  </si>
  <si>
    <t xml:space="preserve">THE GREAT MOUSTACHE</t>
  </si>
  <si>
    <t xml:space="preserve">4000000419</t>
  </si>
  <si>
    <t xml:space="preserve">__import__.res_partner_20000000420</t>
  </si>
  <si>
    <t xml:space="preserve">20000000420</t>
  </si>
  <si>
    <t xml:space="preserve">CUQUILAND COSAS BONITAS, S.L.</t>
  </si>
  <si>
    <t xml:space="preserve">ESB87054763</t>
  </si>
  <si>
    <t xml:space="preserve">28012</t>
  </si>
  <si>
    <t xml:space="preserve">Colegiata 5, 5º Ext.</t>
  </si>
  <si>
    <t xml:space="preserve">628 153 926</t>
  </si>
  <si>
    <t xml:space="preserve">4000000420</t>
  </si>
  <si>
    <t xml:space="preserve">__import__.res_partner_20000000422</t>
  </si>
  <si>
    <t xml:space="preserve">20000000422</t>
  </si>
  <si>
    <t xml:space="preserve">APIGESTIONA MANAGEMENT BARCELONA, S.L.</t>
  </si>
  <si>
    <t xml:space="preserve">ESB66800806</t>
  </si>
  <si>
    <t xml:space="preserve">PROVENZA, 288 2º2ª</t>
  </si>
  <si>
    <t xml:space="preserve">684 246 080</t>
  </si>
  <si>
    <t xml:space="preserve">MADNESSTOYS</t>
  </si>
  <si>
    <t xml:space="preserve">4000000422</t>
  </si>
  <si>
    <t xml:space="preserve">__import__.res_partner_20000000423</t>
  </si>
  <si>
    <t xml:space="preserve">20000000423</t>
  </si>
  <si>
    <t xml:space="preserve">MANOLITO BOOKS, S.L.</t>
  </si>
  <si>
    <t xml:space="preserve">ESB67235945</t>
  </si>
  <si>
    <t xml:space="preserve">08297</t>
  </si>
  <si>
    <t xml:space="preserve">POL. IND. BOADES - CASTELLGALÍ</t>
  </si>
  <si>
    <t xml:space="preserve">658 743 416</t>
  </si>
  <si>
    <t xml:space="preserve">4000000423</t>
  </si>
  <si>
    <t xml:space="preserve">__import__.res_partner_20000000424</t>
  </si>
  <si>
    <t xml:space="preserve">20000000424</t>
  </si>
  <si>
    <t xml:space="preserve">SEVEN S.P.A.</t>
  </si>
  <si>
    <t xml:space="preserve">IT0096333001</t>
  </si>
  <si>
    <t xml:space="preserve">10040</t>
  </si>
  <si>
    <t xml:space="preserve">Via Fornacino, 96</t>
  </si>
  <si>
    <t xml:space="preserve">Leiní</t>
  </si>
  <si>
    <t xml:space="preserve">39 011 9970573</t>
  </si>
  <si>
    <t xml:space="preserve">4000000424</t>
  </si>
  <si>
    <t xml:space="preserve">__import__.res_partner_20000000434</t>
  </si>
  <si>
    <t xml:space="preserve">20000000434</t>
  </si>
  <si>
    <t xml:space="preserve">UTANPLAS, S.L.</t>
  </si>
  <si>
    <t xml:space="preserve">ESB19467562</t>
  </si>
  <si>
    <t xml:space="preserve">LG. ALVEDRA S/N - CULLEREDO</t>
  </si>
  <si>
    <t xml:space="preserve">A CORUÑA</t>
  </si>
  <si>
    <t xml:space="preserve">comercial@archivo2000.es</t>
  </si>
  <si>
    <t xml:space="preserve">981 660 003 </t>
  </si>
  <si>
    <t xml:space="preserve">ARCHIVO 2000</t>
  </si>
  <si>
    <t xml:space="preserve">4000000434</t>
  </si>
  <si>
    <t xml:space="preserve">PEDIDOS A: PEDIDOS@ARCHIVO2000.ES
https://www.archivo2000.es/
Usuario: doustrazos
Contraseña: carlin
</t>
  </si>
  <si>
    <t xml:space="preserve">__import__.res_partner_20000000435</t>
  </si>
  <si>
    <t xml:space="preserve">20000000435</t>
  </si>
  <si>
    <t xml:space="preserve">LAST ROAD, S.L.</t>
  </si>
  <si>
    <t xml:space="preserve">ESB53988416</t>
  </si>
  <si>
    <t xml:space="preserve">03600</t>
  </si>
  <si>
    <t xml:space="preserve">AVDA DEL MEDITERRANEO, 14</t>
  </si>
  <si>
    <t xml:space="preserve">ALICANTE</t>
  </si>
  <si>
    <t xml:space="preserve">hola@pepitaviajera.com</t>
  </si>
  <si>
    <t xml:space="preserve">966194671</t>
  </si>
  <si>
    <t xml:space="preserve">PEPITA VIAJERA</t>
  </si>
  <si>
    <t xml:space="preserve">4000000435</t>
  </si>
  <si>
    <t xml:space="preserve">60 días F.F. o 3% P.P.
8% DTO. En tarifa.
PEDIDO 200€ (80€ reposiciones)
</t>
  </si>
  <si>
    <t xml:space="preserve">__import__.res_partner_20000000438</t>
  </si>
  <si>
    <t xml:space="preserve">20000000438</t>
  </si>
  <si>
    <t xml:space="preserve">NAIPES HERACLIO FOURNIER, S.A.</t>
  </si>
  <si>
    <t xml:space="preserve">ESA01136142</t>
  </si>
  <si>
    <t xml:space="preserve">01170</t>
  </si>
  <si>
    <t xml:space="preserve">P.I GOJAIN AVDA SAN BLAS 19</t>
  </si>
  <si>
    <t xml:space="preserve">LEGUTIO</t>
  </si>
  <si>
    <t xml:space="preserve">Marta.Garraza@nhfournier.es</t>
  </si>
  <si>
    <t xml:space="preserve">945465525</t>
  </si>
  <si>
    <t xml:space="preserve">FOURNIER</t>
  </si>
  <si>
    <t xml:space="preserve">4000000438</t>
  </si>
  <si>
    <t xml:space="preserve">Pedidos &gt; 200 € 10% dto.
Pedidos &gt; 300 € 20% dto.
Pedidos &gt; 400 € 30% dto.</t>
  </si>
  <si>
    <t xml:space="preserve">__import__.res_partner_20000000444</t>
  </si>
  <si>
    <t xml:space="preserve">20000000444</t>
  </si>
  <si>
    <t xml:space="preserve">NEWELL BRANDS IBERIA, S.L.</t>
  </si>
  <si>
    <t xml:space="preserve">ESB86294188</t>
  </si>
  <si>
    <t xml:space="preserve">08195</t>
  </si>
  <si>
    <t xml:space="preserve">CM DE CAN AMETLLER, 38 LOCAL 3</t>
  </si>
  <si>
    <t xml:space="preserve">SANT CUGAT DEL VALLES</t>
  </si>
  <si>
    <t xml:space="preserve">eva.castro@newellco.com</t>
  </si>
  <si>
    <t xml:space="preserve">4000000444</t>
  </si>
  <si>
    <t xml:space="preserve">__import__.res_partner_20000000464</t>
  </si>
  <si>
    <t xml:space="preserve">20000000464</t>
  </si>
  <si>
    <t xml:space="preserve">FERNANDO SOLER BLACH</t>
  </si>
  <si>
    <t xml:space="preserve">ES76999421K</t>
  </si>
  <si>
    <t xml:space="preserve">36213</t>
  </si>
  <si>
    <t xml:space="preserve">CAÑIZA 94</t>
  </si>
  <si>
    <t xml:space="preserve">VIGO</t>
  </si>
  <si>
    <t xml:space="preserve">ferreteriasoler@mundo-r.com</t>
  </si>
  <si>
    <t xml:space="preserve">986243170</t>
  </si>
  <si>
    <t xml:space="preserve">FERRETERÍA SOLER</t>
  </si>
  <si>
    <t xml:space="preserve">4000000464</t>
  </si>
  <si>
    <t xml:space="preserve">__import__.res_partner_20000010000</t>
  </si>
  <si>
    <t xml:space="preserve">20000010000</t>
  </si>
  <si>
    <t xml:space="preserve">MADERAS PORRIÑO S.L.</t>
  </si>
  <si>
    <t xml:space="preserve">ESB36105401</t>
  </si>
  <si>
    <t xml:space="preserve">36400</t>
  </si>
  <si>
    <t xml:space="preserve">CR CRA. PORRIÑO -TUY- EL CERQUIDO</t>
  </si>
  <si>
    <t xml:space="preserve">PORRIÑO</t>
  </si>
  <si>
    <t xml:space="preserve">4000010000</t>
  </si>
  <si>
    <t xml:space="preserve">__import__.res_partner_20000010001</t>
  </si>
  <si>
    <t xml:space="preserve">20000010001</t>
  </si>
  <si>
    <t xml:space="preserve">CARCHIDEA S.L.</t>
  </si>
  <si>
    <t xml:space="preserve">ESB36734408</t>
  </si>
  <si>
    <t xml:space="preserve">36214</t>
  </si>
  <si>
    <t xml:space="preserve">BO COUTADA NOVA 20 A</t>
  </si>
  <si>
    <t xml:space="preserve">986 260932</t>
  </si>
  <si>
    <t xml:space="preserve">CARCHIVO</t>
  </si>
  <si>
    <t xml:space="preserve">4000010001</t>
  </si>
  <si>
    <t xml:space="preserve">pedidos@carchidea.com
DESCUENTO EN FACTURA 35%</t>
  </si>
  <si>
    <t xml:space="preserve">__import__.res_partner_20000010002</t>
  </si>
  <si>
    <t xml:space="preserve">20000010002</t>
  </si>
  <si>
    <t xml:space="preserve">SUMINISTROS ARPE S.L.</t>
  </si>
  <si>
    <t xml:space="preserve">ESB61567772</t>
  </si>
  <si>
    <t xml:space="preserve">08211</t>
  </si>
  <si>
    <t xml:space="preserve">CL MARESME 34-36</t>
  </si>
  <si>
    <t xml:space="preserve">CASTELLAR DEL VALLES</t>
  </si>
  <si>
    <t xml:space="preserve">comercial.es@suministrosarpe.com</t>
  </si>
  <si>
    <t xml:space="preserve">93 715 90 97</t>
  </si>
  <si>
    <t xml:space="preserve">4000010002</t>
  </si>
  <si>
    <t xml:space="preserve">__import__.res_partner_20000010003</t>
  </si>
  <si>
    <t xml:space="preserve">20000010003</t>
  </si>
  <si>
    <t xml:space="preserve">SALVADOR GARCIA S.L.</t>
  </si>
  <si>
    <t xml:space="preserve">ESB78553278</t>
  </si>
  <si>
    <t xml:space="preserve">CL LA MADERA 12</t>
  </si>
  <si>
    <t xml:space="preserve">RIVAS VACIA-MADRID</t>
  </si>
  <si>
    <t xml:space="preserve">91 670 20 10</t>
  </si>
  <si>
    <t xml:space="preserve">4000010003</t>
  </si>
  <si>
    <t xml:space="preserve">__import__.res_partner_20000010004</t>
  </si>
  <si>
    <t xml:space="preserve">20000010004</t>
  </si>
  <si>
    <t xml:space="preserve">ANTONIO JOSE MOLEDO BERMUDEZ</t>
  </si>
  <si>
    <t xml:space="preserve">ES35562458L</t>
  </si>
  <si>
    <t xml:space="preserve">36700</t>
  </si>
  <si>
    <t xml:space="preserve">CL ORENSE 1 BAJO</t>
  </si>
  <si>
    <t xml:space="preserve">TUI</t>
  </si>
  <si>
    <t xml:space="preserve">986 604 339</t>
  </si>
  <si>
    <t xml:space="preserve">PRENSA</t>
  </si>
  <si>
    <t xml:space="preserve">4000010004</t>
  </si>
  <si>
    <t xml:space="preserve">__import__.res_partner_20000010005</t>
  </si>
  <si>
    <t xml:space="preserve">20000010005</t>
  </si>
  <si>
    <t xml:space="preserve">MAFERGA S.A.</t>
  </si>
  <si>
    <t xml:space="preserve">ESA36641744</t>
  </si>
  <si>
    <t xml:space="preserve">36316</t>
  </si>
  <si>
    <t xml:space="preserve">PG A PASAXE</t>
  </si>
  <si>
    <t xml:space="preserve">GONDOMAR</t>
  </si>
  <si>
    <t xml:space="preserve">986 468 888</t>
  </si>
  <si>
    <t xml:space="preserve">4000010005</t>
  </si>
  <si>
    <t xml:space="preserve">__import__.res_partner_20000010006</t>
  </si>
  <si>
    <t xml:space="preserve">20000010006</t>
  </si>
  <si>
    <t xml:space="preserve">ARCONVERT S.A.</t>
  </si>
  <si>
    <t xml:space="preserve">ESA17001801</t>
  </si>
  <si>
    <t xml:space="preserve">17180 </t>
  </si>
  <si>
    <t xml:space="preserve">C/ JAUME I, 44</t>
  </si>
  <si>
    <t xml:space="preserve">VILABLAREIX </t>
  </si>
  <si>
    <t xml:space="preserve">972 49 31 31</t>
  </si>
  <si>
    <t xml:space="preserve">SADIPAL</t>
  </si>
  <si>
    <t xml:space="preserve">4000010006</t>
  </si>
  <si>
    <t xml:space="preserve">__import__.res_partner_20000010007</t>
  </si>
  <si>
    <t xml:space="preserve">20000010007</t>
  </si>
  <si>
    <t xml:space="preserve">CRISER S.L.</t>
  </si>
  <si>
    <t xml:space="preserve">ESB24268419</t>
  </si>
  <si>
    <t xml:space="preserve">24007</t>
  </si>
  <si>
    <t xml:space="preserve">CL REYES CATOLICOS Nº 8</t>
  </si>
  <si>
    <t xml:space="preserve">987 225407-08</t>
  </si>
  <si>
    <t xml:space="preserve">4000010007</t>
  </si>
  <si>
    <t xml:space="preserve">__import__.res_partner_20000010008</t>
  </si>
  <si>
    <t xml:space="preserve">20000010008</t>
  </si>
  <si>
    <t xml:space="preserve">GRABACIONES SAN JUAN S.L.</t>
  </si>
  <si>
    <t xml:space="preserve">ESB36491678</t>
  </si>
  <si>
    <t xml:space="preserve">36938</t>
  </si>
  <si>
    <t xml:space="preserve">POL. IND. CASTIÑEIRAS NAVE Nº 21</t>
  </si>
  <si>
    <t xml:space="preserve">BUEU</t>
  </si>
  <si>
    <t xml:space="preserve">info@seriprintserigrafia.com</t>
  </si>
  <si>
    <t xml:space="preserve">986 320 255</t>
  </si>
  <si>
    <t xml:space="preserve">SERIPRINT</t>
  </si>
  <si>
    <t xml:space="preserve">4000010008</t>
  </si>
  <si>
    <t xml:space="preserve">SANDRA</t>
  </si>
  <si>
    <t xml:space="preserve">__import__.res_partner_20000010010</t>
  </si>
  <si>
    <t xml:space="preserve">20000010010</t>
  </si>
  <si>
    <t xml:space="preserve">PRODUCTOS BENZI S.L.</t>
  </si>
  <si>
    <t xml:space="preserve">ESB39347158</t>
  </si>
  <si>
    <t xml:space="preserve">39100</t>
  </si>
  <si>
    <t xml:space="preserve">AVDA SANTA CRUZ Nº 32 C-INTERIOR</t>
  </si>
  <si>
    <t xml:space="preserve">SANTA CRUZ DE BEZANA- CANTABRIA</t>
  </si>
  <si>
    <t xml:space="preserve">central@benzi.com</t>
  </si>
  <si>
    <t xml:space="preserve">942 581 665</t>
  </si>
  <si>
    <t xml:space="preserve">BENZI</t>
  </si>
  <si>
    <t xml:space="preserve">4000010010</t>
  </si>
  <si>
    <t xml:space="preserve">__import__.res_partner_20000010011</t>
  </si>
  <si>
    <t xml:space="preserve">20000010011</t>
  </si>
  <si>
    <t xml:space="preserve">MERCASH SAR S.L. UNIPERSONAL</t>
  </si>
  <si>
    <t xml:space="preserve">ESB36007409</t>
  </si>
  <si>
    <t xml:space="preserve">GAMBRINUS Nº 11</t>
  </si>
  <si>
    <t xml:space="preserve"> A CORUÑA</t>
  </si>
  <si>
    <t xml:space="preserve">986 64 18 00</t>
  </si>
  <si>
    <t xml:space="preserve">CASH RECORD</t>
  </si>
  <si>
    <t xml:space="preserve">4000010011</t>
  </si>
  <si>
    <t xml:space="preserve">__import__.res_partner_20000010012</t>
  </si>
  <si>
    <t xml:space="preserve">20000010012</t>
  </si>
  <si>
    <t xml:space="preserve">C.V.SISPECO S.L.</t>
  </si>
  <si>
    <t xml:space="preserve">ESB36867083</t>
  </si>
  <si>
    <t xml:space="preserve">36205</t>
  </si>
  <si>
    <t xml:space="preserve">CALLE ANDURIÑA, 25 BAJO</t>
  </si>
  <si>
    <t xml:space="preserve">sispeco@sispeco.com</t>
  </si>
  <si>
    <t xml:space="preserve">986 37 07 53</t>
  </si>
  <si>
    <t xml:space="preserve">ES3121004199322200012535</t>
  </si>
  <si>
    <t xml:space="preserve">CARVE SISPECO</t>
  </si>
  <si>
    <t xml:space="preserve">4000010012</t>
  </si>
  <si>
    <t xml:space="preserve">__import__.res_partner_20000010013</t>
  </si>
  <si>
    <t xml:space="preserve">20000010013</t>
  </si>
  <si>
    <t xml:space="preserve">CARLOS NOGUEIRA PRESAS</t>
  </si>
  <si>
    <t xml:space="preserve">ES35980538M</t>
  </si>
  <si>
    <t xml:space="preserve">36866</t>
  </si>
  <si>
    <t xml:space="preserve"> PADRONS- CHAN DA GANDARA Nº 29</t>
  </si>
  <si>
    <t xml:space="preserve">PONTEAREAS</t>
  </si>
  <si>
    <t xml:space="preserve">info@embalajenogueira.com</t>
  </si>
  <si>
    <t xml:space="preserve">986 64 50 90</t>
  </si>
  <si>
    <t xml:space="preserve">EMBALAJE</t>
  </si>
  <si>
    <t xml:space="preserve">4000010013</t>
  </si>
  <si>
    <t xml:space="preserve">__import__.res_partner_20000010014</t>
  </si>
  <si>
    <t xml:space="preserve">20000010014</t>
  </si>
  <si>
    <t xml:space="preserve">INDUSTRIA ENC. Y TRANSF. DE PLASTICOS DE GALICIA S.L.</t>
  </si>
  <si>
    <t xml:space="preserve">ESB36613974</t>
  </si>
  <si>
    <t xml:space="preserve">36203</t>
  </si>
  <si>
    <t xml:space="preserve">VALENCIA, 11-A</t>
  </si>
  <si>
    <t xml:space="preserve">administracion@iberplas.com</t>
  </si>
  <si>
    <t xml:space="preserve">986 424 211</t>
  </si>
  <si>
    <t xml:space="preserve">IBERPLAS</t>
  </si>
  <si>
    <t xml:space="preserve">4000010014</t>
  </si>
  <si>
    <t xml:space="preserve">__import__.res_partner_20000010015</t>
  </si>
  <si>
    <t xml:space="preserve">20000010015</t>
  </si>
  <si>
    <t xml:space="preserve">INFORTISA, S.L.</t>
  </si>
  <si>
    <t xml:space="preserve">ESB46466421</t>
  </si>
  <si>
    <t xml:space="preserve">46115</t>
  </si>
  <si>
    <t xml:space="preserve">CL DEL POZO 1</t>
  </si>
  <si>
    <t xml:space="preserve">ALFARA DEL PATRIARCA</t>
  </si>
  <si>
    <t xml:space="preserve">administracion@infortisa.com</t>
  </si>
  <si>
    <t xml:space="preserve">961309006</t>
  </si>
  <si>
    <t xml:space="preserve">4000010015</t>
  </si>
  <si>
    <t xml:space="preserve">USUARIO: siex@siex.net
CHAVE: #Dous2011</t>
  </si>
  <si>
    <t xml:space="preserve">__import__.res_partner_20000010017</t>
  </si>
  <si>
    <t xml:space="preserve">20000010017</t>
  </si>
  <si>
    <t xml:space="preserve">OFFICE IDEAS S.L.</t>
  </si>
  <si>
    <t xml:space="preserve">ESB61196234</t>
  </si>
  <si>
    <t xml:space="preserve">C/ CORSEGA Nº 168 1º , 3ª</t>
  </si>
  <si>
    <t xml:space="preserve">bbustelo@dohe.es</t>
  </si>
  <si>
    <t xml:space="preserve">93 419 30 18</t>
  </si>
  <si>
    <t xml:space="preserve">OFFICE IDEAS</t>
  </si>
  <si>
    <t xml:space="preserve">4000010017</t>
  </si>
  <si>
    <t xml:space="preserve">__import__.res_partner_20000010018</t>
  </si>
  <si>
    <t xml:space="preserve">20000010018</t>
  </si>
  <si>
    <t xml:space="preserve">LUJO DISEÑO Y PUBLICIDAD S.L.</t>
  </si>
  <si>
    <t xml:space="preserve">ESB15729296</t>
  </si>
  <si>
    <t xml:space="preserve">15320</t>
  </si>
  <si>
    <t xml:space="preserve">RUA DA SAUDE 23-25 BAIXO</t>
  </si>
  <si>
    <t xml:space="preserve">AS PONTES</t>
  </si>
  <si>
    <t xml:space="preserve">lujo@lujopublicidad.com</t>
  </si>
  <si>
    <t xml:space="preserve">981 44 08 09</t>
  </si>
  <si>
    <t xml:space="preserve">4000010018</t>
  </si>
  <si>
    <t xml:space="preserve">__import__.res_partner_20000010020</t>
  </si>
  <si>
    <t xml:space="preserve">20000010020</t>
  </si>
  <si>
    <t xml:space="preserve">EDICIONES BILINGÜES, S.L.</t>
  </si>
  <si>
    <t xml:space="preserve">ESB86661477</t>
  </si>
  <si>
    <t xml:space="preserve">CTRA. VILLAVICIOSA DE ODÓN - PINTO, KM. 20,2</t>
  </si>
  <si>
    <t xml:space="preserve">PINTO</t>
  </si>
  <si>
    <t xml:space="preserve">PEDIDOS@EDELVIVES.ES</t>
  </si>
  <si>
    <t xml:space="preserve">902 408 060</t>
  </si>
  <si>
    <t xml:space="preserve">BY ME</t>
  </si>
  <si>
    <t xml:space="preserve">4000010020</t>
  </si>
  <si>
    <t xml:space="preserve">__import__.res_partner_20000010021</t>
  </si>
  <si>
    <t xml:space="preserve">20000010021</t>
  </si>
  <si>
    <t xml:space="preserve">GB SUMINISTROS DE OFICINA, S.L.</t>
  </si>
  <si>
    <t xml:space="preserve">ESB15567217</t>
  </si>
  <si>
    <t xml:space="preserve">15006</t>
  </si>
  <si>
    <t xml:space="preserve">C/ MANUEL PIÑEIRO POSE Nº 6</t>
  </si>
  <si>
    <t xml:space="preserve">gbsuministros@mundo-r.com</t>
  </si>
  <si>
    <t xml:space="preserve">981 28 64 51</t>
  </si>
  <si>
    <t xml:space="preserve">4000010021</t>
  </si>
  <si>
    <t xml:space="preserve">__import__.res_partner_20000010022</t>
  </si>
  <si>
    <t xml:space="preserve">20000010022</t>
  </si>
  <si>
    <t xml:space="preserve">IT DISTRIBUTION, S.A.</t>
  </si>
  <si>
    <t xml:space="preserve">ESA81528994</t>
  </si>
  <si>
    <t xml:space="preserve">28100</t>
  </si>
  <si>
    <t xml:space="preserve">CL ARAGONESES - P.I. ALCOBENDAS 15</t>
  </si>
  <si>
    <t xml:space="preserve">917 713 370</t>
  </si>
  <si>
    <t xml:space="preserve">4000010022</t>
  </si>
  <si>
    <t xml:space="preserve">__import__.res_partner_20000010025</t>
  </si>
  <si>
    <t xml:space="preserve">20000010025</t>
  </si>
  <si>
    <t xml:space="preserve">COPYWRITE EUROPE GROUP S.A.</t>
  </si>
  <si>
    <t xml:space="preserve">ESA64198187</t>
  </si>
  <si>
    <t xml:space="preserve">C/ ARAGON Nº 182 2º, 1-4</t>
  </si>
  <si>
    <t xml:space="preserve">GABRIEL - </t>
  </si>
  <si>
    <t xml:space="preserve">935121290</t>
  </si>
  <si>
    <t xml:space="preserve">4000010025</t>
  </si>
  <si>
    <t xml:space="preserve">INCIDENCIAS: rosa@copywritegroup.com </t>
  </si>
  <si>
    <t xml:space="preserve">__import__.res_partner_20000010027</t>
  </si>
  <si>
    <t xml:space="preserve">20000010027</t>
  </si>
  <si>
    <t xml:space="preserve">TESIS GALICIA  S.L.</t>
  </si>
  <si>
    <t xml:space="preserve">ESB36237477</t>
  </si>
  <si>
    <t xml:space="preserve">36861</t>
  </si>
  <si>
    <t xml:space="preserve">BARRIO ALEMPARTE DE ARRIBA Nº 29 A</t>
  </si>
  <si>
    <t xml:space="preserve">AREAS- PONTEAREAS</t>
  </si>
  <si>
    <t xml:space="preserve">administracion@tesisgalicia.es</t>
  </si>
  <si>
    <t xml:space="preserve">986 660 243</t>
  </si>
  <si>
    <t xml:space="preserve">TESIS S.L.</t>
  </si>
  <si>
    <t xml:space="preserve">4000010027</t>
  </si>
  <si>
    <t xml:space="preserve">__import__.res_partner_20000010028</t>
  </si>
  <si>
    <t xml:space="preserve">20000010028</t>
  </si>
  <si>
    <t xml:space="preserve">TRN ELECTRONICA, S.L.U</t>
  </si>
  <si>
    <t xml:space="preserve">ESB36809598</t>
  </si>
  <si>
    <t xml:space="preserve">CL SEVERINO COBAS 49</t>
  </si>
  <si>
    <t xml:space="preserve">4000010028</t>
  </si>
  <si>
    <t xml:space="preserve">__import__.res_partner_20000010029</t>
  </si>
  <si>
    <t xml:space="preserve">20000010029</t>
  </si>
  <si>
    <t xml:space="preserve">COMERCIAL Y DISTRIBUCION LORENZO S.L.</t>
  </si>
  <si>
    <t xml:space="preserve">ESB36045870</t>
  </si>
  <si>
    <t xml:space="preserve">BARGIELA, 14 - RIBADETEA</t>
  </si>
  <si>
    <t xml:space="preserve">pedidos@bopapel.com</t>
  </si>
  <si>
    <t xml:space="preserve">986644150</t>
  </si>
  <si>
    <t xml:space="preserve">BOPAPEL</t>
  </si>
  <si>
    <t xml:space="preserve">4000010029</t>
  </si>
  <si>
    <t xml:space="preserve">__import__.res_partner_20000010030</t>
  </si>
  <si>
    <t xml:space="preserve">20000010030</t>
  </si>
  <si>
    <t xml:space="preserve">DOMINGO FERRER S.L.</t>
  </si>
  <si>
    <t xml:space="preserve">ESB63564058</t>
  </si>
  <si>
    <t xml:space="preserve">RAMBLA MARINA Nº 466-472</t>
  </si>
  <si>
    <t xml:space="preserve">L'HOSPITALET DE LLOBREGAT</t>
  </si>
  <si>
    <t xml:space="preserve">dfh@dfh.es</t>
  </si>
  <si>
    <t xml:space="preserve">93 337 07 00</t>
  </si>
  <si>
    <t xml:space="preserve">DOMINGO FERRER S.L.- UNILEX</t>
  </si>
  <si>
    <t xml:space="preserve">4000010030</t>
  </si>
  <si>
    <r>
      <rPr>
        <sz val="11"/>
        <color rgb="FF000000"/>
        <rFont val="Calibri"/>
        <family val="2"/>
        <charset val="1"/>
      </rPr>
      <t xml:space="preserve">GUNDIN
</t>
    </r>
    <r>
      <rPr>
        <sz val="10"/>
        <color rgb="FF000000"/>
        <rFont val="Arial"/>
        <family val="2"/>
        <charset val="1"/>
      </rPr>
      <t xml:space="preserve">PEDIDO DE 250€ PARA PORTES PAGADOS </t>
    </r>
  </si>
  <si>
    <t xml:space="preserve">__import__.res_partner_20000010031</t>
  </si>
  <si>
    <t xml:space="preserve">20000010031</t>
  </si>
  <si>
    <t xml:space="preserve">MANUEL OJEA MIRON</t>
  </si>
  <si>
    <t xml:space="preserve">ES35981463X</t>
  </si>
  <si>
    <t xml:space="preserve">36206</t>
  </si>
  <si>
    <t xml:space="preserve">C/ REDOMEIRA Nº 25</t>
  </si>
  <si>
    <t xml:space="preserve">986275513</t>
  </si>
  <si>
    <t xml:space="preserve">DIANA, FORROS PARA LIBROS.</t>
  </si>
  <si>
    <t xml:space="preserve">4000010031</t>
  </si>
  <si>
    <t xml:space="preserve">__import__.res_partner_20000010032</t>
  </si>
  <si>
    <t xml:space="preserve">20000010032</t>
  </si>
  <si>
    <t xml:space="preserve">SANTIAGO &amp; CIA. ALMACENES COMERCIALES S.L.</t>
  </si>
  <si>
    <t xml:space="preserve">ESB27013093</t>
  </si>
  <si>
    <t xml:space="preserve">27850</t>
  </si>
  <si>
    <t xml:space="preserve">C/ EDIFICIO VERXELES Nº 3</t>
  </si>
  <si>
    <t xml:space="preserve">VIVEIRO</t>
  </si>
  <si>
    <t xml:space="preserve">982 560 600</t>
  </si>
  <si>
    <t xml:space="preserve">ALCO DISTRIBUCIONES</t>
  </si>
  <si>
    <t xml:space="preserve">4000010032</t>
  </si>
  <si>
    <t xml:space="preserve">REP. VIDAL.</t>
  </si>
  <si>
    <t xml:space="preserve">__import__.res_partner_20000010033</t>
  </si>
  <si>
    <t xml:space="preserve">20000010033</t>
  </si>
  <si>
    <t xml:space="preserve">REILO REGALOS S.L.</t>
  </si>
  <si>
    <t xml:space="preserve">ESB15433287</t>
  </si>
  <si>
    <t xml:space="preserve">POLIGONO DE BERGONDO- ROIS H7</t>
  </si>
  <si>
    <t xml:space="preserve">BERGONDO</t>
  </si>
  <si>
    <t xml:space="preserve">comercial@reilo.com</t>
  </si>
  <si>
    <t xml:space="preserve">981 795 512</t>
  </si>
  <si>
    <t xml:space="preserve">4000010033</t>
  </si>
  <si>
    <t xml:space="preserve">__import__.res_partner_20000010034</t>
  </si>
  <si>
    <t xml:space="preserve">20000010034</t>
  </si>
  <si>
    <t xml:space="preserve">DISTRIBUCIONS E EDICIONS ARNOIA S.A.</t>
  </si>
  <si>
    <t xml:space="preserve">ESA36046019</t>
  </si>
  <si>
    <t xml:space="preserve">36827</t>
  </si>
  <si>
    <t xml:space="preserve">POL. IND. A REIGOSA, PARCELA 19</t>
  </si>
  <si>
    <t xml:space="preserve">PONTE CALDELAS</t>
  </si>
  <si>
    <t xml:space="preserve">iboullosa@arnoia.com</t>
  </si>
  <si>
    <t xml:space="preserve">986 761 020</t>
  </si>
  <si>
    <t xml:space="preserve">4000010034</t>
  </si>
  <si>
    <t xml:space="preserve">-CASH
007997
carporri
- NIGRAN
030052
cnigran
-RIBEIRA
030054
cribeira
</t>
  </si>
  <si>
    <t xml:space="preserve">__import__.res_partner_20000010035</t>
  </si>
  <si>
    <t xml:space="preserve">20000010035</t>
  </si>
  <si>
    <t xml:space="preserve">CIMPLAST ADHESIVOS S.L.</t>
  </si>
  <si>
    <t xml:space="preserve">ESB40159279</t>
  </si>
  <si>
    <t xml:space="preserve">40195</t>
  </si>
  <si>
    <t xml:space="preserve">POL. IND. HONTORIA. C/GREMIO DEL CUERO 98 B</t>
  </si>
  <si>
    <t xml:space="preserve">HONTORIA</t>
  </si>
  <si>
    <t xml:space="preserve">info@cimplastadhesivos.es</t>
  </si>
  <si>
    <t xml:space="preserve">921 444 380</t>
  </si>
  <si>
    <t xml:space="preserve">CIMPLAST</t>
  </si>
  <si>
    <t xml:space="preserve">4000010035</t>
  </si>
  <si>
    <t xml:space="preserve">__import__.res_partner_20000010036</t>
  </si>
  <si>
    <t xml:space="preserve">20000010036</t>
  </si>
  <si>
    <t xml:space="preserve">BIO-PACK, S.L.</t>
  </si>
  <si>
    <t xml:space="preserve">ESB60006574</t>
  </si>
  <si>
    <t xml:space="preserve">08691</t>
  </si>
  <si>
    <t xml:space="preserve">P. IND. EL TORTUGUER S/N</t>
  </si>
  <si>
    <t xml:space="preserve">MONISTROL DE MONSERRAT</t>
  </si>
  <si>
    <t xml:space="preserve">93 828 41 21</t>
  </si>
  <si>
    <t xml:space="preserve">4000010036</t>
  </si>
  <si>
    <t xml:space="preserve">__import__.res_partner_20000010037</t>
  </si>
  <si>
    <t xml:space="preserve">20000010037</t>
  </si>
  <si>
    <t xml:space="preserve">MONICA QUINTAS PEREZ</t>
  </si>
  <si>
    <t xml:space="preserve">ES36126944Q</t>
  </si>
  <si>
    <t xml:space="preserve">AVDA. HISPANIDAD, 84. PORTAL 2, 5ºE</t>
  </si>
  <si>
    <t xml:space="preserve">moniquinpe@gmail.com</t>
  </si>
  <si>
    <t xml:space="preserve">POPUESMMXXX</t>
  </si>
  <si>
    <t xml:space="preserve">ES6400758901550603407461</t>
  </si>
  <si>
    <t xml:space="preserve">CARD GROUP</t>
  </si>
  <si>
    <t xml:space="preserve">4000010037</t>
  </si>
  <si>
    <t xml:space="preserve">__import__.res_partner_20000010038</t>
  </si>
  <si>
    <t xml:space="preserve">20000010038</t>
  </si>
  <si>
    <t xml:space="preserve">INTEGRACIÓN Y DESARROLLO DE EQUIPOS DE CONTROL, S.A.</t>
  </si>
  <si>
    <t xml:space="preserve">ESA60142999</t>
  </si>
  <si>
    <t xml:space="preserve">08302</t>
  </si>
  <si>
    <t xml:space="preserve">CL Remallaire - Pol. Ind. Les Hortes 6</t>
  </si>
  <si>
    <t xml:space="preserve">Mataró</t>
  </si>
  <si>
    <t xml:space="preserve">info@idcsa.com</t>
  </si>
  <si>
    <t xml:space="preserve">937 414 182</t>
  </si>
  <si>
    <t xml:space="preserve">IDCSA</t>
  </si>
  <si>
    <t xml:space="preserve">4000010038</t>
  </si>
  <si>
    <t xml:space="preserve">__import__.res_partner_20000010039</t>
  </si>
  <si>
    <t xml:space="preserve">20000010039</t>
  </si>
  <si>
    <t xml:space="preserve">INFORMATICA MEGASUR, SL</t>
  </si>
  <si>
    <t xml:space="preserve">ESB18314112</t>
  </si>
  <si>
    <t xml:space="preserve">18151</t>
  </si>
  <si>
    <t xml:space="preserve">PG Pol. Tecnol. Armilla - Ogijares C/A - nave 16</t>
  </si>
  <si>
    <t xml:space="preserve">Ogijares</t>
  </si>
  <si>
    <t xml:space="preserve">lcastro@megasur.es</t>
  </si>
  <si>
    <t xml:space="preserve">958 509 010</t>
  </si>
  <si>
    <t xml:space="preserve">MEGASUR</t>
  </si>
  <si>
    <t xml:space="preserve">4000010039</t>
  </si>
  <si>
    <t xml:space="preserve">CÓD. CLIENTE: 210482
informatica@dous...
#Trazos2011
</t>
  </si>
  <si>
    <t xml:space="preserve">__import__.res_partner_20000010040</t>
  </si>
  <si>
    <t xml:space="preserve">20000010040</t>
  </si>
  <si>
    <t xml:space="preserve">OFIMATICA TOUZA S.L</t>
  </si>
  <si>
    <t xml:space="preserve">ESB36035426</t>
  </si>
  <si>
    <t xml:space="preserve">36003</t>
  </si>
  <si>
    <t xml:space="preserve">C/ AUGUSTO GARCIA SANCHEZ 14 BAJO</t>
  </si>
  <si>
    <t xml:space="preserve">info@ofimaticatouza.com</t>
  </si>
  <si>
    <t xml:space="preserve">986 855 854</t>
  </si>
  <si>
    <t xml:space="preserve">4000010040</t>
  </si>
  <si>
    <t xml:space="preserve">__import__.res_partner_20000010041</t>
  </si>
  <si>
    <t xml:space="preserve">20000010041</t>
  </si>
  <si>
    <t xml:space="preserve">SAUL SADOCH S.P.A. REX PRODOTTI CARTOTECNICI</t>
  </si>
  <si>
    <t xml:space="preserve">IT0083894032</t>
  </si>
  <si>
    <t xml:space="preserve">34018</t>
  </si>
  <si>
    <t xml:space="preserve">VIA RESSEL 2/6</t>
  </si>
  <si>
    <t xml:space="preserve">SAN DORLIGO DELLA VALLE- TRIESTE</t>
  </si>
  <si>
    <t xml:space="preserve">kalbert@kalbert.es</t>
  </si>
  <si>
    <t xml:space="preserve">39 040 8323200</t>
  </si>
  <si>
    <t xml:space="preserve">SAUL SADOCH</t>
  </si>
  <si>
    <t xml:space="preserve">4000010041</t>
  </si>
  <si>
    <t xml:space="preserve">sadoch@sadoch.it</t>
  </si>
  <si>
    <t xml:space="preserve">__import__.res_partner_20000010042</t>
  </si>
  <si>
    <t xml:space="preserve">20000010042</t>
  </si>
  <si>
    <t xml:space="preserve">WORLD DRIVER S.A.</t>
  </si>
  <si>
    <t xml:space="preserve">ESA62589130</t>
  </si>
  <si>
    <t xml:space="preserve">CR L´HOSPITALET 66 B</t>
  </si>
  <si>
    <t xml:space="preserve">d.garcia4@cgac.es</t>
  </si>
  <si>
    <t xml:space="preserve">centralita - 93</t>
  </si>
  <si>
    <t xml:space="preserve">LUDILO</t>
  </si>
  <si>
    <t xml:space="preserve">4000010042</t>
  </si>
  <si>
    <t xml:space="preserve">__import__.res_partner_20000010044</t>
  </si>
  <si>
    <t xml:space="preserve">20000010044</t>
  </si>
  <si>
    <t xml:space="preserve">DIDACTA Y FOAMI DE GALICIA,S.L.N.E</t>
  </si>
  <si>
    <t xml:space="preserve">ESB70218193</t>
  </si>
  <si>
    <t xml:space="preserve">32005</t>
  </si>
  <si>
    <t xml:space="preserve">c/ GALICIA Nº 18 BAJO</t>
  </si>
  <si>
    <t xml:space="preserve">OURENSE</t>
  </si>
  <si>
    <t xml:space="preserve">info@foamygal.com</t>
  </si>
  <si>
    <t xml:space="preserve">881105007</t>
  </si>
  <si>
    <t xml:space="preserve">FOAMY</t>
  </si>
  <si>
    <t xml:space="preserve">4000010044</t>
  </si>
  <si>
    <t xml:space="preserve">__import__.res_partner_20000010045</t>
  </si>
  <si>
    <t xml:space="preserve">20000010045</t>
  </si>
  <si>
    <t xml:space="preserve">HERPESA CANTABRIA S.L.</t>
  </si>
  <si>
    <t xml:space="preserve">ESB39646781</t>
  </si>
  <si>
    <t xml:space="preserve">39718</t>
  </si>
  <si>
    <t xml:space="preserve">CARRETERA GENERAL S/N</t>
  </si>
  <si>
    <t xml:space="preserve">SOBREMAZAS - CANTABRIA</t>
  </si>
  <si>
    <t xml:space="preserve">info@herpesa.com</t>
  </si>
  <si>
    <t xml:space="preserve">942 52 01 11</t>
  </si>
  <si>
    <t xml:space="preserve">BBVAESMMXXX</t>
  </si>
  <si>
    <t xml:space="preserve">HERPESA</t>
  </si>
  <si>
    <t xml:space="preserve">4000010045</t>
  </si>
  <si>
    <t xml:space="preserve">__import__.res_partner_20000010046</t>
  </si>
  <si>
    <t xml:space="preserve">20000010046</t>
  </si>
  <si>
    <t xml:space="preserve">ALMACENES CELSO MIGUEZ S.A.</t>
  </si>
  <si>
    <t xml:space="preserve">ESA36005718</t>
  </si>
  <si>
    <t xml:space="preserve">ALMIRANTE MATOS, 25-27-29</t>
  </si>
  <si>
    <t xml:space="preserve">celsomiguez@celsomiguez.com</t>
  </si>
  <si>
    <t xml:space="preserve">986 85 95 00</t>
  </si>
  <si>
    <t xml:space="preserve">CELSO MIGUEZ</t>
  </si>
  <si>
    <t xml:space="preserve">4000010046</t>
  </si>
  <si>
    <t xml:space="preserve">SR.  CORTES
telefono  tienda porriño  986331100
bellas artes porriño 986337225
</t>
  </si>
  <si>
    <t xml:space="preserve">__import__.res_partner_20000010047</t>
  </si>
  <si>
    <t xml:space="preserve">20000010047</t>
  </si>
  <si>
    <t xml:space="preserve">INFORPOR, S.L.</t>
  </si>
  <si>
    <t xml:space="preserve">ESB02192367</t>
  </si>
  <si>
    <t xml:space="preserve">POL.IND. CAMPOLLANO, ZONA NORTE, CALLE B 74</t>
  </si>
  <si>
    <t xml:space="preserve">susana@inforpor.com</t>
  </si>
  <si>
    <t xml:space="preserve">967 248 224</t>
  </si>
  <si>
    <t xml:space="preserve">4000010047</t>
  </si>
  <si>
    <t xml:space="preserve">B36554327-BU4543
#Dous.2011.
</t>
  </si>
  <si>
    <t xml:space="preserve">__import__.res_partner_20000010048</t>
  </si>
  <si>
    <t xml:space="preserve">20000010048</t>
  </si>
  <si>
    <t xml:space="preserve">IMPRESIONES Y MANIPULADOS S.L.</t>
  </si>
  <si>
    <t xml:space="preserve">ESB46095303</t>
  </si>
  <si>
    <t xml:space="preserve">46800</t>
  </si>
  <si>
    <t xml:space="preserve">CAMINO DE LA FABRICA DE PAPEL,15 POL. IND. C</t>
  </si>
  <si>
    <t xml:space="preserve">XATIVA</t>
  </si>
  <si>
    <t xml:space="preserve">impresma@impresma.com</t>
  </si>
  <si>
    <t xml:space="preserve">962 27 07 16</t>
  </si>
  <si>
    <t xml:space="preserve">IMPRESMA</t>
  </si>
  <si>
    <t xml:space="preserve">4000010048</t>
  </si>
  <si>
    <t xml:space="preserve">__import__.res_partner_20000010049</t>
  </si>
  <si>
    <t xml:space="preserve">20000010049</t>
  </si>
  <si>
    <t xml:space="preserve">HOGARLIN S.A.</t>
  </si>
  <si>
    <t xml:space="preserve">ESA36625507</t>
  </si>
  <si>
    <t xml:space="preserve">36330</t>
  </si>
  <si>
    <t xml:space="preserve">BAIXADA GANDARA Nº 9</t>
  </si>
  <si>
    <t xml:space="preserve">CORUXO- VIGO</t>
  </si>
  <si>
    <t xml:space="preserve">ividal@hogarlin.es</t>
  </si>
  <si>
    <t xml:space="preserve">986 21 47 46</t>
  </si>
  <si>
    <t xml:space="preserve">4000010049</t>
  </si>
  <si>
    <t xml:space="preserve">__import__.res_partner_20000010050</t>
  </si>
  <si>
    <t xml:space="preserve">20000010050</t>
  </si>
  <si>
    <t xml:space="preserve">CREACIONES JAIMARC S.L.</t>
  </si>
  <si>
    <t xml:space="preserve">ESB62415302</t>
  </si>
  <si>
    <t xml:space="preserve">08750</t>
  </si>
  <si>
    <t xml:space="preserve">poligono el pla-miguel torello i pages, 4-6</t>
  </si>
  <si>
    <t xml:space="preserve">MOLINS DE REI</t>
  </si>
  <si>
    <t xml:space="preserve">936 802 055</t>
  </si>
  <si>
    <t xml:space="preserve">4000010050</t>
  </si>
  <si>
    <t xml:space="preserve">__import__.res_partner_20000010051</t>
  </si>
  <si>
    <t xml:space="preserve">20000010051</t>
  </si>
  <si>
    <t xml:space="preserve">ZYX IDEAS S.L.</t>
  </si>
  <si>
    <t xml:space="preserve">ESB61855854</t>
  </si>
  <si>
    <t xml:space="preserve">33891</t>
  </si>
  <si>
    <t xml:space="preserve">AVDA DE LA CONSTITUCION Nº 54B</t>
  </si>
  <si>
    <t xml:space="preserve">LA ESPINA- SALAS</t>
  </si>
  <si>
    <t xml:space="preserve">985 83 75 76</t>
  </si>
  <si>
    <t xml:space="preserve">4000010051</t>
  </si>
  <si>
    <t xml:space="preserve">__import__.res_partner_20000010053</t>
  </si>
  <si>
    <t xml:space="preserve">20000010053</t>
  </si>
  <si>
    <t xml:space="preserve">LITOSPRINT, S.L.</t>
  </si>
  <si>
    <t xml:space="preserve">ESB36176709</t>
  </si>
  <si>
    <t xml:space="preserve">36164</t>
  </si>
  <si>
    <t xml:space="preserve">C/ MONTECELO Nº 7 BAIXO</t>
  </si>
  <si>
    <t xml:space="preserve">MOURENTE</t>
  </si>
  <si>
    <t xml:space="preserve">litosprint.ofi@terra.es</t>
  </si>
  <si>
    <t xml:space="preserve">986 86 22 50</t>
  </si>
  <si>
    <t xml:space="preserve">4000010053</t>
  </si>
  <si>
    <t xml:space="preserve">__import__.res_partner_20000010054</t>
  </si>
  <si>
    <t xml:space="preserve">20000010054</t>
  </si>
  <si>
    <t xml:space="preserve">MANIPULADOS VILCOR S.L.</t>
  </si>
  <si>
    <t xml:space="preserve">ESB91621904</t>
  </si>
  <si>
    <t xml:space="preserve">POL. IND. LA ESTRELLA, C/ G, Nº 26</t>
  </si>
  <si>
    <t xml:space="preserve">CORIA DEL RIO</t>
  </si>
  <si>
    <t xml:space="preserve">954 776 674</t>
  </si>
  <si>
    <t xml:space="preserve">SELVI</t>
  </si>
  <si>
    <t xml:space="preserve">4000010054</t>
  </si>
  <si>
    <t xml:space="preserve">__import__.res_partner_20000010055</t>
  </si>
  <si>
    <t xml:space="preserve">20000010055</t>
  </si>
  <si>
    <t xml:space="preserve">MARCO DACHS, S.A.</t>
  </si>
  <si>
    <t xml:space="preserve">ESA17046343</t>
  </si>
  <si>
    <t xml:space="preserve">ZONA INDUSTRIAL DE MORENA, 3 CRA C-31 KM. 332</t>
  </si>
  <si>
    <t xml:space="preserve">MONT.RAS</t>
  </si>
  <si>
    <t xml:space="preserve">comercial@milan.es</t>
  </si>
  <si>
    <t xml:space="preserve">972 610 019</t>
  </si>
  <si>
    <t xml:space="preserve">4000010055</t>
  </si>
  <si>
    <t xml:space="preserve">__import__.res_partner_20000010057</t>
  </si>
  <si>
    <t xml:space="preserve">20000010057</t>
  </si>
  <si>
    <t xml:space="preserve">EDICIONES ALJIBE S.L.</t>
  </si>
  <si>
    <t xml:space="preserve">ESB29473295</t>
  </si>
  <si>
    <t xml:space="preserve">29300</t>
  </si>
  <si>
    <t xml:space="preserve">C/ PAVIA Nº 8</t>
  </si>
  <si>
    <t xml:space="preserve">ARCHIDONA</t>
  </si>
  <si>
    <t xml:space="preserve">aljibe@edicionesaljibe.com</t>
  </si>
  <si>
    <t xml:space="preserve">95 271 43 95</t>
  </si>
  <si>
    <t xml:space="preserve">4000010057</t>
  </si>
  <si>
    <t xml:space="preserve">__import__.res_partner_20000010058</t>
  </si>
  <si>
    <t xml:space="preserve">20000010058</t>
  </si>
  <si>
    <t xml:space="preserve">SPORTANDEM S.L.</t>
  </si>
  <si>
    <t xml:space="preserve">ESB46255618</t>
  </si>
  <si>
    <t xml:space="preserve">46960</t>
  </si>
  <si>
    <t xml:space="preserve">CAMINO DEL COSCOLLAR, 18-20</t>
  </si>
  <si>
    <t xml:space="preserve">ALDAYA</t>
  </si>
  <si>
    <t xml:space="preserve">sportandem@sportandem.es</t>
  </si>
  <si>
    <t xml:space="preserve">96 150 73 79</t>
  </si>
  <si>
    <t xml:space="preserve">SPORTANDEM</t>
  </si>
  <si>
    <t xml:space="preserve">4000010058</t>
  </si>
  <si>
    <t xml:space="preserve">RAPELL 8%  - Meter la factura con el dto del 8% y en la línea final poner en positivo rappel para cuadrar, y generar abono con el artículo RAPPEL.</t>
  </si>
  <si>
    <t xml:space="preserve">__import__.res_partner_20000010059</t>
  </si>
  <si>
    <t xml:space="preserve">20000010059</t>
  </si>
  <si>
    <t xml:space="preserve">ANA BELEN ORTEGA FERNANDEZ</t>
  </si>
  <si>
    <t xml:space="preserve">ES50722544T</t>
  </si>
  <si>
    <t xml:space="preserve">36860</t>
  </si>
  <si>
    <t xml:space="preserve">DANIEL OJEA Nº 6</t>
  </si>
  <si>
    <t xml:space="preserve">LA VARA</t>
  </si>
  <si>
    <t xml:space="preserve">4000010059</t>
  </si>
  <si>
    <t xml:space="preserve">__import__.res_partner_20000010060</t>
  </si>
  <si>
    <t xml:space="preserve">20000010060</t>
  </si>
  <si>
    <t xml:space="preserve">BISLEY ESPAÑA S.L.</t>
  </si>
  <si>
    <t xml:space="preserve">ESB85933828</t>
  </si>
  <si>
    <t xml:space="preserve">POL. IND. BAKIOLA PAB. 6</t>
  </si>
  <si>
    <t xml:space="preserve">jagimeno@lumaway.es</t>
  </si>
  <si>
    <t xml:space="preserve">94 633 32 00</t>
  </si>
  <si>
    <t xml:space="preserve">BISLEY</t>
  </si>
  <si>
    <t xml:space="preserve">4000010060</t>
  </si>
  <si>
    <t xml:space="preserve">__import__.res_partner_20000010061</t>
  </si>
  <si>
    <t xml:space="preserve">20000010061</t>
  </si>
  <si>
    <t xml:space="preserve">TECNICAS DE EFICACIA SOCIAL, S.L.</t>
  </si>
  <si>
    <t xml:space="preserve">ESB15853088</t>
  </si>
  <si>
    <t xml:space="preserve">ALCALDE GREGORIO ESPINO, 85 BAIXO</t>
  </si>
  <si>
    <t xml:space="preserve">vigo@libreriaites.com</t>
  </si>
  <si>
    <t xml:space="preserve">986 265 159</t>
  </si>
  <si>
    <t xml:space="preserve">LIBRERIA ITES</t>
  </si>
  <si>
    <t xml:space="preserve">4000010061</t>
  </si>
  <si>
    <t xml:space="preserve">__import__.res_partner_20000010062</t>
  </si>
  <si>
    <t xml:space="preserve">20000010062</t>
  </si>
  <si>
    <t xml:space="preserve">SPEED PC LA LINEA S.L.</t>
  </si>
  <si>
    <t xml:space="preserve">ESB11789930</t>
  </si>
  <si>
    <t xml:space="preserve">11379</t>
  </si>
  <si>
    <t xml:space="preserve">FRAGATA, 12</t>
  </si>
  <si>
    <t xml:space="preserve">PALMONEZ</t>
  </si>
  <si>
    <t xml:space="preserve">VICTOR@SPEED-PC.COM</t>
  </si>
  <si>
    <t xml:space="preserve">952051573</t>
  </si>
  <si>
    <t xml:space="preserve">SPEED PC DISTRIBUCIONES</t>
  </si>
  <si>
    <t xml:space="preserve">4000010062</t>
  </si>
  <si>
    <t xml:space="preserve">usuario: DOUSB365
chave: 47g2l4je
pedido minimo para portes pagos 150€
</t>
  </si>
  <si>
    <t xml:space="preserve">__import__.res_partner_20000010063</t>
  </si>
  <si>
    <t xml:space="preserve">20000010063</t>
  </si>
  <si>
    <t xml:space="preserve">THE PAPER &amp; OFFICE EQUIPMENT SPAIN ASSOCIATION S.A.</t>
  </si>
  <si>
    <t xml:space="preserve">ESA48221998</t>
  </si>
  <si>
    <t xml:space="preserve">48970</t>
  </si>
  <si>
    <t xml:space="preserve">AVDA CERVANTES Nº 35</t>
  </si>
  <si>
    <t xml:space="preserve">BASAURI</t>
  </si>
  <si>
    <t xml:space="preserve">94 671 30 19</t>
  </si>
  <si>
    <t xml:space="preserve">POESSA</t>
  </si>
  <si>
    <t xml:space="preserve">4000010063</t>
  </si>
  <si>
    <t xml:space="preserve">__import__.res_partner_20000010067</t>
  </si>
  <si>
    <t xml:space="preserve">20000010067</t>
  </si>
  <si>
    <t xml:space="preserve">ANTONIO J. MICHEL S.A.</t>
  </si>
  <si>
    <t xml:space="preserve">ESA08308744</t>
  </si>
  <si>
    <t xml:space="preserve">08020</t>
  </si>
  <si>
    <t xml:space="preserve">CAMI DE LA VERNEDA, 29-33</t>
  </si>
  <si>
    <t xml:space="preserve">toni@michel.es</t>
  </si>
  <si>
    <t xml:space="preserve">93 278 83 81</t>
  </si>
  <si>
    <t xml:space="preserve">MICHEL</t>
  </si>
  <si>
    <t xml:space="preserve">4000010067</t>
  </si>
  <si>
    <t xml:space="preserve">__import__.res_partner_20000010068</t>
  </si>
  <si>
    <t xml:space="preserve">20000010068</t>
  </si>
  <si>
    <t xml:space="preserve">TRADEX INFORMATICA, S.L.</t>
  </si>
  <si>
    <t xml:space="preserve">ESB92001197</t>
  </si>
  <si>
    <t xml:space="preserve">CL ATENAS - P.I. SAN LUIS 42</t>
  </si>
  <si>
    <t xml:space="preserve">paqui@tradexinformatica.es</t>
  </si>
  <si>
    <t xml:space="preserve">952331939</t>
  </si>
  <si>
    <t xml:space="preserve">4000010068</t>
  </si>
  <si>
    <t xml:space="preserve">__import__.res_partner_20000010069</t>
  </si>
  <si>
    <t xml:space="preserve">20000010069</t>
  </si>
  <si>
    <t xml:space="preserve">IDEA ALMACEN DE PAPELERIA S.L.</t>
  </si>
  <si>
    <t xml:space="preserve">ESB27262922</t>
  </si>
  <si>
    <t xml:space="preserve">27154</t>
  </si>
  <si>
    <t xml:space="preserve">ESTRADA DE GUILLAR Nº 13</t>
  </si>
  <si>
    <t xml:space="preserve">OUTEIRO DE REI</t>
  </si>
  <si>
    <t xml:space="preserve">pedidos@ideapapeleria.com</t>
  </si>
  <si>
    <t xml:space="preserve">982 39 31 28</t>
  </si>
  <si>
    <t xml:space="preserve">4000010069</t>
  </si>
  <si>
    <t xml:space="preserve">__import__.res_partner_20000010070</t>
  </si>
  <si>
    <t xml:space="preserve">20000010070</t>
  </si>
  <si>
    <t xml:space="preserve">REDINOR S.L.</t>
  </si>
  <si>
    <t xml:space="preserve">ESB36127405</t>
  </si>
  <si>
    <t xml:space="preserve">36150</t>
  </si>
  <si>
    <t xml:space="preserve">C/ POL. INDUSTRIAL DE XEVE.NAVE 5</t>
  </si>
  <si>
    <t xml:space="preserve">COUSO - SAN ANDRES</t>
  </si>
  <si>
    <t xml:space="preserve">compras@redinor.com</t>
  </si>
  <si>
    <t xml:space="preserve">986 87 91 98</t>
  </si>
  <si>
    <t xml:space="preserve">4000010070</t>
  </si>
  <si>
    <t xml:space="preserve">__import__.res_partner_20000010071</t>
  </si>
  <si>
    <t xml:space="preserve">20000010071</t>
  </si>
  <si>
    <t xml:space="preserve">ASESORIA INFORMATICA GALLEGA, S.L.</t>
  </si>
  <si>
    <t xml:space="preserve">ESB36781920</t>
  </si>
  <si>
    <t xml:space="preserve">36201</t>
  </si>
  <si>
    <t xml:space="preserve">MARQUES DE VALADARES, 27</t>
  </si>
  <si>
    <t xml:space="preserve">986447061</t>
  </si>
  <si>
    <t xml:space="preserve">AIG</t>
  </si>
  <si>
    <t xml:space="preserve">4000010071</t>
  </si>
  <si>
    <t xml:space="preserve">__import__.res_partner_20000010072</t>
  </si>
  <si>
    <t xml:space="preserve">20000010072</t>
  </si>
  <si>
    <t xml:space="preserve">FIJAPLAST S.L.</t>
  </si>
  <si>
    <t xml:space="preserve">ESB18603365</t>
  </si>
  <si>
    <t xml:space="preserve">18360</t>
  </si>
  <si>
    <t xml:space="preserve">P.I. LA CATALANA AVDA DE ESPAÑA, NAVE 1</t>
  </si>
  <si>
    <t xml:space="preserve">HUÉTOR TÁJAR- GRANADA</t>
  </si>
  <si>
    <t xml:space="preserve">info@fijaplast.com</t>
  </si>
  <si>
    <t xml:space="preserve">958 33 24 13</t>
  </si>
  <si>
    <t xml:space="preserve">4000010072</t>
  </si>
  <si>
    <t xml:space="preserve">__import__.res_partner_20000010073</t>
  </si>
  <si>
    <t xml:space="preserve">20000010073</t>
  </si>
  <si>
    <t xml:space="preserve">ACCESDIST PUBLICIDAD S.L.</t>
  </si>
  <si>
    <t xml:space="preserve">ESB85082741</t>
  </si>
  <si>
    <t xml:space="preserve">36211</t>
  </si>
  <si>
    <t xml:space="preserve">AVDA DE CAMELIAS Nº 101 ENTRESUELO</t>
  </si>
  <si>
    <t xml:space="preserve">angelespereira@accesdist.com</t>
  </si>
  <si>
    <t xml:space="preserve">986 244 189</t>
  </si>
  <si>
    <t xml:space="preserve">4000010073</t>
  </si>
  <si>
    <t xml:space="preserve">ANGELA PEREIRA / clara: 663 33 88 06</t>
  </si>
  <si>
    <t xml:space="preserve">__import__.res_partner_20000010074</t>
  </si>
  <si>
    <t xml:space="preserve">20000010074</t>
  </si>
  <si>
    <t xml:space="preserve">MARINA DOUTON RAJO</t>
  </si>
  <si>
    <t xml:space="preserve">ES02852975D</t>
  </si>
  <si>
    <t xml:space="preserve">27400</t>
  </si>
  <si>
    <t xml:space="preserve">AVDA DE GALICIA  Nº 52 4º B</t>
  </si>
  <si>
    <t xml:space="preserve">MONFORTE DE LEMOS</t>
  </si>
  <si>
    <t xml:space="preserve">ventas@lacarlin.com.</t>
  </si>
  <si>
    <t xml:space="preserve">982 405354</t>
  </si>
  <si>
    <t xml:space="preserve">CARLIN MONFORTE. CHUZOS S.L.</t>
  </si>
  <si>
    <t xml:space="preserve">4000010074</t>
  </si>
  <si>
    <t xml:space="preserve">__import__.res_partner_20000010075</t>
  </si>
  <si>
    <t xml:space="preserve">20000010075</t>
  </si>
  <si>
    <t xml:space="preserve">ARAPROFI S.L.</t>
  </si>
  <si>
    <t xml:space="preserve">ESB50736644</t>
  </si>
  <si>
    <t xml:space="preserve">50002</t>
  </si>
  <si>
    <t xml:space="preserve">SALVADOR DE MADARIAGA S/N</t>
  </si>
  <si>
    <t xml:space="preserve">comercial@araprofi.com</t>
  </si>
  <si>
    <t xml:space="preserve">976 59 66 06</t>
  </si>
  <si>
    <t xml:space="preserve">ARAPROFI</t>
  </si>
  <si>
    <t xml:space="preserve">4000010075</t>
  </si>
  <si>
    <t xml:space="preserve">SR. MANUEL CETINA</t>
  </si>
  <si>
    <t xml:space="preserve">__import__.res_partner_20000010076</t>
  </si>
  <si>
    <t xml:space="preserve">20000010076</t>
  </si>
  <si>
    <t xml:space="preserve">PESTAÑA ARAOZ, C.B.</t>
  </si>
  <si>
    <t xml:space="preserve">ESE47525712</t>
  </si>
  <si>
    <t xml:space="preserve">47008</t>
  </si>
  <si>
    <t xml:space="preserve">GENERAL SOLCHAGA Nº 38. POLIGONO ALGALES</t>
  </si>
  <si>
    <t xml:space="preserve">VALLADOLID</t>
  </si>
  <si>
    <t xml:space="preserve">pedroariaspar@gmail.com</t>
  </si>
  <si>
    <t xml:space="preserve">983 475 058</t>
  </si>
  <si>
    <t xml:space="preserve">MANIPULADOS ZORRILLA S.A.</t>
  </si>
  <si>
    <t xml:space="preserve">4000010076</t>
  </si>
  <si>
    <t xml:space="preserve">REPRESENTANTE SR. PEDRO ARIAS 669 429 069 / FAX 981 612 372 </t>
  </si>
  <si>
    <t xml:space="preserve">__import__.res_partner_20000010077</t>
  </si>
  <si>
    <t xml:space="preserve">20000010077</t>
  </si>
  <si>
    <t xml:space="preserve">PRYSE S.A.</t>
  </si>
  <si>
    <t xml:space="preserve">ESA58276254</t>
  </si>
  <si>
    <t xml:space="preserve">C/ LISBOA Nº 6</t>
  </si>
  <si>
    <t xml:space="preserve">comercial@pryse.es</t>
  </si>
  <si>
    <t xml:space="preserve">935 880 370</t>
  </si>
  <si>
    <t xml:space="preserve">4000010077</t>
  </si>
  <si>
    <t xml:space="preserve">DELEGADO PEDRO ARIAS / PAPEL NORMAL NETO 10€ / PAPEL METALIZADO NETO 12€</t>
  </si>
  <si>
    <t xml:space="preserve">__import__.res_partner_20000010078</t>
  </si>
  <si>
    <t xml:space="preserve">20000010078</t>
  </si>
  <si>
    <t xml:space="preserve">CARRASCO DISTRIBUCIONES DE LIBROS S.L.</t>
  </si>
  <si>
    <t xml:space="preserve">ESB79968863</t>
  </si>
  <si>
    <t xml:space="preserve">C/ EL ALAMO Nº 23. POL. IND. EL ÁLAMO.</t>
  </si>
  <si>
    <t xml:space="preserve">91 569 16 00</t>
  </si>
  <si>
    <t xml:space="preserve">4000010078</t>
  </si>
  <si>
    <t xml:space="preserve">__import__.res_partner_20000010079</t>
  </si>
  <si>
    <t xml:space="preserve">20000010079</t>
  </si>
  <si>
    <t xml:space="preserve">Mº SANDRA CORREDOURA PINO</t>
  </si>
  <si>
    <t xml:space="preserve">ES76895123M</t>
  </si>
  <si>
    <t xml:space="preserve">36840</t>
  </si>
  <si>
    <t xml:space="preserve">AVDA DE CASTELAO Nº 32  BAJO</t>
  </si>
  <si>
    <t xml:space="preserve">LIBRERIA PAPIROS</t>
  </si>
  <si>
    <t xml:space="preserve">4000010079</t>
  </si>
  <si>
    <t xml:space="preserve">__import__.res_partner_20000010081</t>
  </si>
  <si>
    <t xml:space="preserve">20000010081</t>
  </si>
  <si>
    <t xml:space="preserve">COMPLEMENTOS DE OFICINA Y TECNOLOGIAS S.L.</t>
  </si>
  <si>
    <t xml:space="preserve">ESB85755387</t>
  </si>
  <si>
    <t xml:space="preserve">CL. GAMONAL ,5</t>
  </si>
  <si>
    <t xml:space="preserve">902 883599</t>
  </si>
  <si>
    <t xml:space="preserve">STEY (30)</t>
  </si>
  <si>
    <t xml:space="preserve">4000010081</t>
  </si>
  <si>
    <t xml:space="preserve">__import__.res_partner_20000010082</t>
  </si>
  <si>
    <t xml:space="preserve">20000010082</t>
  </si>
  <si>
    <t xml:space="preserve">SABAT SELECCION S.A.</t>
  </si>
  <si>
    <t xml:space="preserve">ESA08822678</t>
  </si>
  <si>
    <t xml:space="preserve">C/ CASP Nº 161</t>
  </si>
  <si>
    <t xml:space="preserve">93 246 44 23</t>
  </si>
  <si>
    <t xml:space="preserve">SABAT</t>
  </si>
  <si>
    <t xml:space="preserve">4000010082</t>
  </si>
  <si>
    <t xml:space="preserve">__import__.res_partner_20000010084</t>
  </si>
  <si>
    <t xml:space="preserve">20000010084</t>
  </si>
  <si>
    <t xml:space="preserve">MATIAS SALVA S.L.</t>
  </si>
  <si>
    <t xml:space="preserve">ESB03088366</t>
  </si>
  <si>
    <t xml:space="preserve">3740</t>
  </si>
  <si>
    <t xml:space="preserve">PLAZA DE ESPAÑA, 21-23</t>
  </si>
  <si>
    <t xml:space="preserve">96 575 60 51</t>
  </si>
  <si>
    <t xml:space="preserve">MATIAS SALVA</t>
  </si>
  <si>
    <t xml:space="preserve">4000010084</t>
  </si>
  <si>
    <t xml:space="preserve">gerardo</t>
  </si>
  <si>
    <t xml:space="preserve">__import__.res_partner_20000010085</t>
  </si>
  <si>
    <t xml:space="preserve">20000010085</t>
  </si>
  <si>
    <t xml:space="preserve">PEPE ALBA S.L.</t>
  </si>
  <si>
    <t xml:space="preserve">ESB11410032</t>
  </si>
  <si>
    <t xml:space="preserve">29004</t>
  </si>
  <si>
    <t xml:space="preserve">C/ EDUARDO QUEIPO DE LLANO CABALLERO Nº 37. POL. GUADALHORCE</t>
  </si>
  <si>
    <t xml:space="preserve">pepealba@pepealba.eu</t>
  </si>
  <si>
    <t xml:space="preserve">95 2247010</t>
  </si>
  <si>
    <t xml:space="preserve">4000010085</t>
  </si>
  <si>
    <t xml:space="preserve">__import__.res_partner_20000010086</t>
  </si>
  <si>
    <t xml:space="preserve">20000010086</t>
  </si>
  <si>
    <t xml:space="preserve">JONATHAN BERNAL RUEDA</t>
  </si>
  <si>
    <t xml:space="preserve">ES43506524T</t>
  </si>
  <si>
    <t xml:space="preserve">08030</t>
  </si>
  <si>
    <t xml:space="preserve">SANT MARIA 12,</t>
  </si>
  <si>
    <t xml:space="preserve">933 114 532</t>
  </si>
  <si>
    <t xml:space="preserve">BERLO BER</t>
  </si>
  <si>
    <t xml:space="preserve">4000010086</t>
  </si>
  <si>
    <t xml:space="preserve">REPRESENTANE: SR. BENIGNO.</t>
  </si>
  <si>
    <t xml:space="preserve">__import__.res_partner_20000010087</t>
  </si>
  <si>
    <t xml:space="preserve">20000010087</t>
  </si>
  <si>
    <t xml:space="preserve">JOUMMA BAGS S.L.</t>
  </si>
  <si>
    <t xml:space="preserve">ESB98087331</t>
  </si>
  <si>
    <t xml:space="preserve">46870</t>
  </si>
  <si>
    <t xml:space="preserve">AVDA DEL TEXTIL Nº 34</t>
  </si>
  <si>
    <t xml:space="preserve">ONTINYENT</t>
  </si>
  <si>
    <t xml:space="preserve">962361097</t>
  </si>
  <si>
    <t xml:space="preserve">JOUMMA BAGS</t>
  </si>
  <si>
    <t xml:space="preserve">4000010087</t>
  </si>
  <si>
    <t xml:space="preserve">JOSE LUIS</t>
  </si>
  <si>
    <t xml:space="preserve">__import__.res_partner_20000010089</t>
  </si>
  <si>
    <t xml:space="preserve">20000010089</t>
  </si>
  <si>
    <t xml:space="preserve">ARTE Y CERAMICA DE GALICIA S.L.</t>
  </si>
  <si>
    <t xml:space="preserve">ESB27712454</t>
  </si>
  <si>
    <t xml:space="preserve">C/ URUGUAY Nº 6 BAJO</t>
  </si>
  <si>
    <t xml:space="preserve">info@arteyceramica.es</t>
  </si>
  <si>
    <t xml:space="preserve">986 113 937</t>
  </si>
  <si>
    <t xml:space="preserve">ARTE Y CERAMICA</t>
  </si>
  <si>
    <t xml:space="preserve">4000010089</t>
  </si>
  <si>
    <t xml:space="preserve">__import__.res_partner_20000010091</t>
  </si>
  <si>
    <t xml:space="preserve">20000010091</t>
  </si>
  <si>
    <t xml:space="preserve">EON PAPER S.L.</t>
  </si>
  <si>
    <t xml:space="preserve">ESB62208178</t>
  </si>
  <si>
    <t xml:space="preserve">08243</t>
  </si>
  <si>
    <t xml:space="preserve">POL. IND. BUFALVENT. C/ JOSE COMAS I SOLÁ, 24, NAVE 3</t>
  </si>
  <si>
    <t xml:space="preserve">MANRESA- BARCELONA</t>
  </si>
  <si>
    <t xml:space="preserve">93 836 23 38</t>
  </si>
  <si>
    <t xml:space="preserve">AIRONFIX</t>
  </si>
  <si>
    <t xml:space="preserve">4000010091</t>
  </si>
  <si>
    <t xml:space="preserve">__import__.res_partner_20000010092</t>
  </si>
  <si>
    <t xml:space="preserve">20000010092</t>
  </si>
  <si>
    <t xml:space="preserve">SAXOPRINT GMBH</t>
  </si>
  <si>
    <t xml:space="preserve">ESN0045735H</t>
  </si>
  <si>
    <t xml:space="preserve">PINAR, 5</t>
  </si>
  <si>
    <t xml:space="preserve">service@saxoprint.es</t>
  </si>
  <si>
    <t xml:space="preserve">9009 94 93 8</t>
  </si>
  <si>
    <t xml:space="preserve">MIDLESMXXXX</t>
  </si>
  <si>
    <t xml:space="preserve">4000010092</t>
  </si>
  <si>
    <t xml:space="preserve">__import__.res_partner_20000010093</t>
  </si>
  <si>
    <t xml:space="preserve">20000010093</t>
  </si>
  <si>
    <t xml:space="preserve">MOTIVALS NEGOCIOS S.L.</t>
  </si>
  <si>
    <t xml:space="preserve">ESB98054125</t>
  </si>
  <si>
    <t xml:space="preserve">AVDA DEL TEXTIL Nº 63 - APARTADO DE CORREOS 862</t>
  </si>
  <si>
    <t xml:space="preserve">ventas@motivals.com</t>
  </si>
  <si>
    <t xml:space="preserve">96 236 93 43</t>
  </si>
  <si>
    <t xml:space="preserve">MOTIVALS</t>
  </si>
  <si>
    <t xml:space="preserve">4000010093</t>
  </si>
  <si>
    <t xml:space="preserve">__import__.res_partner_20000010094</t>
  </si>
  <si>
    <t xml:space="preserve">20000010094</t>
  </si>
  <si>
    <t xml:space="preserve">NEVADA MANIPULADOS DEL PAPEL S.L.</t>
  </si>
  <si>
    <t xml:space="preserve">ESB18797944</t>
  </si>
  <si>
    <t xml:space="preserve">GUADIX PARCELA Nº 366</t>
  </si>
  <si>
    <t xml:space="preserve">pedidos@manipuladosnevada.com</t>
  </si>
  <si>
    <t xml:space="preserve">958 491867</t>
  </si>
  <si>
    <t xml:space="preserve">4000010094</t>
  </si>
  <si>
    <t xml:space="preserve">REPRESENTANTE: JUAN JOSE / pedidos@nevadamanipulados.com</t>
  </si>
  <si>
    <t xml:space="preserve">__import__.res_partner_20000010095</t>
  </si>
  <si>
    <t xml:space="preserve">20000010095</t>
  </si>
  <si>
    <t xml:space="preserve">INDUSTRIAS DE LA PIEL EL MOLINO S.A.</t>
  </si>
  <si>
    <t xml:space="preserve">ESA02018588</t>
  </si>
  <si>
    <t xml:space="preserve">02080</t>
  </si>
  <si>
    <t xml:space="preserve">AUTOVIA A-31 KM, 65</t>
  </si>
  <si>
    <t xml:space="preserve">967 21 29 38</t>
  </si>
  <si>
    <t xml:space="preserve">EL MOLINO</t>
  </si>
  <si>
    <t xml:space="preserve">4000010095</t>
  </si>
  <si>
    <t xml:space="preserve">juan carlos</t>
  </si>
  <si>
    <t xml:space="preserve">__import__.res_partner_20000010096</t>
  </si>
  <si>
    <t xml:space="preserve">20000010096</t>
  </si>
  <si>
    <t xml:space="preserve">EUROP-BEIFA  S.A.</t>
  </si>
  <si>
    <t xml:space="preserve">C/ CABO ORTEGAL Nº 5 P.I. BORONDO</t>
  </si>
  <si>
    <t xml:space="preserve">ARANDA DEL REY-MADRID</t>
  </si>
  <si>
    <t xml:space="preserve">comercial@beifa.es</t>
  </si>
  <si>
    <t xml:space="preserve">4000010096</t>
  </si>
  <si>
    <t xml:space="preserve">__import__.res_partner_20000010097</t>
  </si>
  <si>
    <t xml:space="preserve">20000010097</t>
  </si>
  <si>
    <t xml:space="preserve">DISTRICOM INKJET TONER,S.L.</t>
  </si>
  <si>
    <t xml:space="preserve">ESB39760707</t>
  </si>
  <si>
    <t xml:space="preserve">39600</t>
  </si>
  <si>
    <t xml:space="preserve">POLIGONO DE RAOS PARCELA 12 NAVE B3</t>
  </si>
  <si>
    <t xml:space="preserve">MALIAÑO</t>
  </si>
  <si>
    <t xml:space="preserve">4000010097</t>
  </si>
  <si>
    <t xml:space="preserve">__import__.res_partner_20000010098</t>
  </si>
  <si>
    <t xml:space="preserve">20000010098</t>
  </si>
  <si>
    <t xml:space="preserve">CASTELLANA DE ETIQUETADO Y CARTELERIA S.L.</t>
  </si>
  <si>
    <t xml:space="preserve">ESB79918322</t>
  </si>
  <si>
    <t xml:space="preserve">C/ FISICAS Nº 63- POL. IND. URTINSA II</t>
  </si>
  <si>
    <t xml:space="preserve">ceycasl@gmail.com</t>
  </si>
  <si>
    <t xml:space="preserve">91 226 09 41</t>
  </si>
  <si>
    <t xml:space="preserve">BKBKESMMXXX</t>
  </si>
  <si>
    <t xml:space="preserve">ES1501280226010500004311</t>
  </si>
  <si>
    <t xml:space="preserve">CEYCA</t>
  </si>
  <si>
    <t xml:space="preserve">4000010098</t>
  </si>
  <si>
    <t xml:space="preserve">__import__.res_partner_20000010099</t>
  </si>
  <si>
    <t xml:space="preserve">20000010099</t>
  </si>
  <si>
    <t xml:space="preserve">GROUP LOGISTICA Y CODIFICACION, S.L.</t>
  </si>
  <si>
    <t xml:space="preserve">ESB62861372</t>
  </si>
  <si>
    <t xml:space="preserve">08304</t>
  </si>
  <si>
    <t xml:space="preserve">ESTEVE ALBERT, 59</t>
  </si>
  <si>
    <t xml:space="preserve">MATARO</t>
  </si>
  <si>
    <t xml:space="preserve">93 757 50 89</t>
  </si>
  <si>
    <t xml:space="preserve">4000010099</t>
  </si>
  <si>
    <t xml:space="preserve">__import__.res_partner_20000010100</t>
  </si>
  <si>
    <t xml:space="preserve">20000010100</t>
  </si>
  <si>
    <t xml:space="preserve">ALBERTO SOUTO BUJAN</t>
  </si>
  <si>
    <t xml:space="preserve">ES34888703A</t>
  </si>
  <si>
    <t xml:space="preserve">15174</t>
  </si>
  <si>
    <t xml:space="preserve">AVDA. FONTECULLER Nº 78</t>
  </si>
  <si>
    <t xml:space="preserve">653 83 12 13</t>
  </si>
  <si>
    <t xml:space="preserve">ALIGATOR IBERICA</t>
  </si>
  <si>
    <t xml:space="preserve">4000010100</t>
  </si>
  <si>
    <t xml:space="preserve">__import__.res_partner_20000010101</t>
  </si>
  <si>
    <t xml:space="preserve">20000010101</t>
  </si>
  <si>
    <t xml:space="preserve">TARANILLA S.U.</t>
  </si>
  <si>
    <t xml:space="preserve">ESB24269805</t>
  </si>
  <si>
    <t xml:space="preserve">24231</t>
  </si>
  <si>
    <t xml:space="preserve">POL. IND. DE LEON, CALLE 3 PARC. G-11</t>
  </si>
  <si>
    <t xml:space="preserve">ONZONILLA</t>
  </si>
  <si>
    <t xml:space="preserve">ventas@taranilla.es</t>
  </si>
  <si>
    <t xml:space="preserve">987 25 91 43</t>
  </si>
  <si>
    <t xml:space="preserve">DOSSIER</t>
  </si>
  <si>
    <t xml:space="preserve">4000010101</t>
  </si>
  <si>
    <t xml:space="preserve">__import__.res_partner_20000010102</t>
  </si>
  <si>
    <t xml:space="preserve">20000010102</t>
  </si>
  <si>
    <t xml:space="preserve">LASERLUCUS S.L.U.</t>
  </si>
  <si>
    <t xml:space="preserve">ESB27424084</t>
  </si>
  <si>
    <t xml:space="preserve">info@ideapapeleria.com</t>
  </si>
  <si>
    <t xml:space="preserve">WOOD MODELS</t>
  </si>
  <si>
    <t xml:space="preserve">4000010102</t>
  </si>
  <si>
    <t xml:space="preserve">__import__.res_partner_20000010103</t>
  </si>
  <si>
    <t xml:space="preserve">20000010103</t>
  </si>
  <si>
    <t xml:space="preserve">OKRAM TRADING S.L.</t>
  </si>
  <si>
    <t xml:space="preserve">ESB70285994</t>
  </si>
  <si>
    <t xml:space="preserve">PARQUE ALVEDRO MANZANA 5, NAVE E2</t>
  </si>
  <si>
    <t xml:space="preserve">ALVEDRO- CULLEREDO</t>
  </si>
  <si>
    <t xml:space="preserve">info@okram.es</t>
  </si>
  <si>
    <t xml:space="preserve">981 907 149</t>
  </si>
  <si>
    <t xml:space="preserve">4000010103</t>
  </si>
  <si>
    <t xml:space="preserve">PEDRO ARIAS</t>
  </si>
  <si>
    <t xml:space="preserve">__import__.res_partner_20000010104</t>
  </si>
  <si>
    <t xml:space="preserve">20000010104</t>
  </si>
  <si>
    <t xml:space="preserve">JOSMA SPORT GOL 2000 S.L.</t>
  </si>
  <si>
    <t xml:space="preserve">ESB62160411</t>
  </si>
  <si>
    <t xml:space="preserve">08941</t>
  </si>
  <si>
    <t xml:space="preserve">AVINGUDA DE LA FAMA 88</t>
  </si>
  <si>
    <t xml:space="preserve">CORNELLA DE LLOBREGAR</t>
  </si>
  <si>
    <t xml:space="preserve">comercial@aligatoriberica.com</t>
  </si>
  <si>
    <t xml:space="preserve">93 2611600</t>
  </si>
  <si>
    <t xml:space="preserve">4000010104</t>
  </si>
  <si>
    <t xml:space="preserve">alberto soluto (100100)</t>
  </si>
  <si>
    <t xml:space="preserve">__import__.res_partner_20000010105</t>
  </si>
  <si>
    <t xml:space="preserve">20000010105</t>
  </si>
  <si>
    <t xml:space="preserve">EDITORIAL BRIEF S.L.</t>
  </si>
  <si>
    <t xml:space="preserve">ESB96944699</t>
  </si>
  <si>
    <t xml:space="preserve">46020</t>
  </si>
  <si>
    <t xml:space="preserve">C/ DANIEL BALACIART, Nº 5</t>
  </si>
  <si>
    <t xml:space="preserve">info@edibrief.com</t>
  </si>
  <si>
    <t xml:space="preserve">963 10 60 37</t>
  </si>
  <si>
    <t xml:space="preserve">4000010105</t>
  </si>
  <si>
    <t xml:space="preserve">__import__.res_partner_20000010106</t>
  </si>
  <si>
    <t xml:space="preserve">20000010106</t>
  </si>
  <si>
    <t xml:space="preserve">IMPRESIONES INTEGRALES GALLEGAS S.L.</t>
  </si>
  <si>
    <t xml:space="preserve">ESB27718758</t>
  </si>
  <si>
    <t xml:space="preserve">1ª TRAVESÍA MARQUÉS DEL ALCEDO 9</t>
  </si>
  <si>
    <t xml:space="preserve">ANDREALOPEZSABORIDO@HOTMAIL.COM</t>
  </si>
  <si>
    <t xml:space="preserve">661 334 089</t>
  </si>
  <si>
    <t xml:space="preserve">GALPREIM</t>
  </si>
  <si>
    <t xml:space="preserve">4000010106</t>
  </si>
  <si>
    <t xml:space="preserve">__import__.res_partner_20000010108</t>
  </si>
  <si>
    <t xml:space="preserve">20000010108</t>
  </si>
  <si>
    <t xml:space="preserve">CONSORCIO EDITORIAL GALEGO,S.A.</t>
  </si>
  <si>
    <t xml:space="preserve">ESA36424919</t>
  </si>
  <si>
    <t xml:space="preserve">36812</t>
  </si>
  <si>
    <t xml:space="preserve">AVDA. DA ESTACION, 25</t>
  </si>
  <si>
    <t xml:space="preserve">REDONDELA</t>
  </si>
  <si>
    <t xml:space="preserve">pedimentos@coegal.com</t>
  </si>
  <si>
    <t xml:space="preserve">986 40 50 51</t>
  </si>
  <si>
    <t xml:space="preserve">4000010108</t>
  </si>
  <si>
    <t xml:space="preserve">__import__.res_partner_20000010109</t>
  </si>
  <si>
    <t xml:space="preserve">20000010109</t>
  </si>
  <si>
    <t xml:space="preserve">CULTURA CLASICA S.L.</t>
  </si>
  <si>
    <t xml:space="preserve">ESB18753202</t>
  </si>
  <si>
    <t xml:space="preserve">18500</t>
  </si>
  <si>
    <t xml:space="preserve">PLAZA DE LAS AMERICAS Nº 1 2º B</t>
  </si>
  <si>
    <t xml:space="preserve">GUADIX</t>
  </si>
  <si>
    <t xml:space="preserve">630 586 083</t>
  </si>
  <si>
    <t xml:space="preserve">4000010109</t>
  </si>
  <si>
    <t xml:space="preserve">__import__.res_partner_20000010110</t>
  </si>
  <si>
    <t xml:space="preserve">20000010110</t>
  </si>
  <si>
    <t xml:space="preserve">JOYANA PAPER S.L.</t>
  </si>
  <si>
    <t xml:space="preserve">ESB91987099</t>
  </si>
  <si>
    <t xml:space="preserve">41927</t>
  </si>
  <si>
    <t xml:space="preserve">C/ Managua, 24 </t>
  </si>
  <si>
    <t xml:space="preserve">MAREINA DEL ALJARAFE</t>
  </si>
  <si>
    <t xml:space="preserve">joyanapaper@gmail.com</t>
  </si>
  <si>
    <t xml:space="preserve">955 762 300</t>
  </si>
  <si>
    <t xml:space="preserve">4000010110</t>
  </si>
  <si>
    <t xml:space="preserve">__import__.res_partner_20000010112</t>
  </si>
  <si>
    <t xml:space="preserve">20000010112</t>
  </si>
  <si>
    <t xml:space="preserve">10DENCEHISPAHARD, S.L.</t>
  </si>
  <si>
    <t xml:space="preserve">ESB62844725</t>
  </si>
  <si>
    <t xml:space="preserve">08380</t>
  </si>
  <si>
    <t xml:space="preserve">GIRONA, 81-83 LOCAL 6</t>
  </si>
  <si>
    <t xml:space="preserve">MALGRAT DE MAR</t>
  </si>
  <si>
    <t xml:space="preserve">4000010112</t>
  </si>
  <si>
    <t xml:space="preserve">__import__.res_partner_20000010113</t>
  </si>
  <si>
    <t xml:space="preserve">20000010113</t>
  </si>
  <si>
    <t xml:space="preserve">GADE, S.L.</t>
  </si>
  <si>
    <t xml:space="preserve">ESB46656492</t>
  </si>
  <si>
    <t xml:space="preserve">46001</t>
  </si>
  <si>
    <t xml:space="preserve">BARÓN DE CÁRCER, 28 - 2º</t>
  </si>
  <si>
    <t xml:space="preserve">963920606</t>
  </si>
  <si>
    <t xml:space="preserve">4000010113</t>
  </si>
  <si>
    <t xml:space="preserve">__import__.res_partner_20000010114</t>
  </si>
  <si>
    <t xml:space="preserve">20000010114</t>
  </si>
  <si>
    <t xml:space="preserve">AXIAL 3, EQUIPAMIENTOS Y SERVICIOS A LA OFICINA S.L.</t>
  </si>
  <si>
    <t xml:space="preserve">ESB36278265</t>
  </si>
  <si>
    <t xml:space="preserve">RUA FERNANDEZ AREAL Nº 10</t>
  </si>
  <si>
    <t xml:space="preserve">O PORRIÑO</t>
  </si>
  <si>
    <t xml:space="preserve">papeleria@axial3.com</t>
  </si>
  <si>
    <t xml:space="preserve">986 337 779</t>
  </si>
  <si>
    <t xml:space="preserve">CAGLESMMVIG</t>
  </si>
  <si>
    <t xml:space="preserve">ES7120805054013040023349</t>
  </si>
  <si>
    <t xml:space="preserve">AXIAL 3</t>
  </si>
  <si>
    <t xml:space="preserve">4000010114</t>
  </si>
  <si>
    <t xml:space="preserve">__import__.res_partner_20000010116</t>
  </si>
  <si>
    <t xml:space="preserve">20000010116</t>
  </si>
  <si>
    <t xml:space="preserve">GRUPO ERIK EDITORES S.L.</t>
  </si>
  <si>
    <t xml:space="preserve">ESB18454090</t>
  </si>
  <si>
    <t xml:space="preserve">18600</t>
  </si>
  <si>
    <t xml:space="preserve">POL. IND. EL VADILLO C/ SANTO DOMINGO Nº 31</t>
  </si>
  <si>
    <t xml:space="preserve">MOTRIL</t>
  </si>
  <si>
    <t xml:space="preserve">manuel.farina@grupoerik.com</t>
  </si>
  <si>
    <t xml:space="preserve">4000010116</t>
  </si>
  <si>
    <t xml:space="preserve">AGENDAS ESCOLARES 24/25 TIENEN UN 15% DE DEVOLUCIÓN.</t>
  </si>
  <si>
    <t xml:space="preserve">__import__.res_partner_20000010117</t>
  </si>
  <si>
    <t xml:space="preserve">20000010117</t>
  </si>
  <si>
    <t xml:space="preserve">PAPELERIA VALVERDE</t>
  </si>
  <si>
    <t xml:space="preserve">ESB35367847</t>
  </si>
  <si>
    <t xml:space="preserve">C/ CASAL ABOY</t>
  </si>
  <si>
    <t xml:space="preserve">986 600 716</t>
  </si>
  <si>
    <t xml:space="preserve">4000010117</t>
  </si>
  <si>
    <t xml:space="preserve">__import__.res_partner_20000010118</t>
  </si>
  <si>
    <t xml:space="preserve">20000010118</t>
  </si>
  <si>
    <t xml:space="preserve">RETIF PORRIÑO</t>
  </si>
  <si>
    <t xml:space="preserve">ESA92504323</t>
  </si>
  <si>
    <t xml:space="preserve">POLIG.IND.A GRANXA PARCELA 70</t>
  </si>
  <si>
    <t xml:space="preserve">porrino@retif.eu</t>
  </si>
  <si>
    <t xml:space="preserve">986 342 142</t>
  </si>
  <si>
    <t xml:space="preserve">RETIF</t>
  </si>
  <si>
    <t xml:space="preserve">4000010118</t>
  </si>
  <si>
    <t xml:space="preserve">__import__.res_partner_20000010119</t>
  </si>
  <si>
    <t xml:space="preserve">20000010119</t>
  </si>
  <si>
    <t xml:space="preserve">FORMULARIOS EUROPEOS S.A.</t>
  </si>
  <si>
    <t xml:space="preserve">ESA78510963</t>
  </si>
  <si>
    <t xml:space="preserve">AVDA CAMARA DE INDUSTRIA, 33</t>
  </si>
  <si>
    <t xml:space="preserve">91 647 07 37</t>
  </si>
  <si>
    <t xml:space="preserve">FESA</t>
  </si>
  <si>
    <t xml:space="preserve">4000010119</t>
  </si>
  <si>
    <t xml:space="preserve">__import__.res_partner_20000010121</t>
  </si>
  <si>
    <t xml:space="preserve">20000010121</t>
  </si>
  <si>
    <t xml:space="preserve">IBERDATA COM. PAPEL, REPRESENTA. Y PRODUCION DE DOCUMENTOS S.L.</t>
  </si>
  <si>
    <t xml:space="preserve">ESB36863447</t>
  </si>
  <si>
    <t xml:space="preserve">GRAN VIA, 22, 1º</t>
  </si>
  <si>
    <t xml:space="preserve">986 443 177</t>
  </si>
  <si>
    <t xml:space="preserve">IBERDATA</t>
  </si>
  <si>
    <t xml:space="preserve">4000010121</t>
  </si>
  <si>
    <t xml:space="preserve">REPRESENTANTE, JUAN JOSE GRAFOPLAS</t>
  </si>
  <si>
    <t xml:space="preserve">__import__.res_partner_20000010122</t>
  </si>
  <si>
    <t xml:space="preserve">20000010122</t>
  </si>
  <si>
    <t xml:space="preserve">NOBERPLAST S.L.</t>
  </si>
  <si>
    <t xml:space="preserve">ESB78500709</t>
  </si>
  <si>
    <t xml:space="preserve">28860</t>
  </si>
  <si>
    <t xml:space="preserve">C/ AVICOLA PARCELA 106</t>
  </si>
  <si>
    <t xml:space="preserve">PARACUELLOS DEL JARAMA</t>
  </si>
  <si>
    <t xml:space="preserve">noberplast@noberplast.com</t>
  </si>
  <si>
    <t xml:space="preserve">91 658 42 42</t>
  </si>
  <si>
    <t xml:space="preserve">4000010122</t>
  </si>
  <si>
    <t xml:space="preserve">__import__.res_partner_20000010124</t>
  </si>
  <si>
    <t xml:space="preserve">20000010124</t>
  </si>
  <si>
    <t xml:space="preserve">ATRISOFT SOLUCIONES DE MOVILIDAD, S.L.</t>
  </si>
  <si>
    <t xml:space="preserve">ESB95400297</t>
  </si>
  <si>
    <t xml:space="preserve">C/ ABAROA, 8</t>
  </si>
  <si>
    <t xml:space="preserve">4000010124</t>
  </si>
  <si>
    <t xml:space="preserve">__import__.res_partner_20000010126</t>
  </si>
  <si>
    <t xml:space="preserve">20000010126</t>
  </si>
  <si>
    <t xml:space="preserve">ARQUEZ&amp;SAVAETE, S.L.</t>
  </si>
  <si>
    <t xml:space="preserve">ESB99346322</t>
  </si>
  <si>
    <t xml:space="preserve">50019</t>
  </si>
  <si>
    <t xml:space="preserve">C/ EL ANGEL AZUL 12 BAJO</t>
  </si>
  <si>
    <t xml:space="preserve">info@arquezysavaete.com</t>
  </si>
  <si>
    <t xml:space="preserve">976 951 690</t>
  </si>
  <si>
    <t xml:space="preserve">ARQUEZ&amp;SAAVAETE, S.L.</t>
  </si>
  <si>
    <t xml:space="preserve">4000010126</t>
  </si>
  <si>
    <t xml:space="preserve">__import__.res_partner_20000010127</t>
  </si>
  <si>
    <t xml:space="preserve">20000010127</t>
  </si>
  <si>
    <t xml:space="preserve">TOTTO UNCONDITIONAL PARTNERS S.L.</t>
  </si>
  <si>
    <t xml:space="preserve">ESB85727998</t>
  </si>
  <si>
    <t xml:space="preserve">C/ COTO DE DOÑANA 14</t>
  </si>
  <si>
    <t xml:space="preserve">daniel.gabasa@totto.es</t>
  </si>
  <si>
    <t xml:space="preserve">91 190 38 36</t>
  </si>
  <si>
    <t xml:space="preserve">TOTTO</t>
  </si>
  <si>
    <t xml:space="preserve">4000010127</t>
  </si>
  <si>
    <t xml:space="preserve">DESCARGAR FACTURAS:
https://tottoemea.my.site.com/s/</t>
  </si>
  <si>
    <t xml:space="preserve">__import__.res_partner_20000010128</t>
  </si>
  <si>
    <t xml:space="preserve">20000010128</t>
  </si>
  <si>
    <t xml:space="preserve">COMERCIAL GRUPO ANAYA S.A.</t>
  </si>
  <si>
    <t xml:space="preserve">ESA79408720</t>
  </si>
  <si>
    <t xml:space="preserve">JUAN IGNACIO LUCA DE TENA, 15</t>
  </si>
  <si>
    <t xml:space="preserve">acouselo@cga.es</t>
  </si>
  <si>
    <t xml:space="preserve">913938600</t>
  </si>
  <si>
    <t xml:space="preserve">ANAYA</t>
  </si>
  <si>
    <t xml:space="preserve">4000010128</t>
  </si>
  <si>
    <t xml:space="preserve">incidencias.cga@anaya.es / pedidos.cga@anaya.es
ALBERTO COUSELO: acouselo@cga.es - 650 648 931
Nº CLIENTE: 7736322914
</t>
  </si>
  <si>
    <t xml:space="preserve">__import__.res_partner_20000010131</t>
  </si>
  <si>
    <t xml:space="preserve">20000010131</t>
  </si>
  <si>
    <t xml:space="preserve">HORACIO RUBEN RODRIGUEZ VINCIGUERRA</t>
  </si>
  <si>
    <t xml:space="preserve">ES39458627B</t>
  </si>
  <si>
    <t xml:space="preserve">36800</t>
  </si>
  <si>
    <t xml:space="preserve">PAI CRESPO 55 BAJO</t>
  </si>
  <si>
    <t xml:space="preserve">CARLIN REDONDELA</t>
  </si>
  <si>
    <t xml:space="preserve">4000010131</t>
  </si>
  <si>
    <t xml:space="preserve">__import__.res_partner_20000010133</t>
  </si>
  <si>
    <t xml:space="preserve">20000010133</t>
  </si>
  <si>
    <t xml:space="preserve">SANOMA EDUCACIÓN S.L.U.</t>
  </si>
  <si>
    <t xml:space="preserve">ESB28119261</t>
  </si>
  <si>
    <t xml:space="preserve">AVDA DE LOS ARTESANOS Nº 6</t>
  </si>
  <si>
    <t xml:space="preserve">TRES CANTOS - MADRID</t>
  </si>
  <si>
    <t xml:space="preserve">pablo.suarez@santillana.es</t>
  </si>
  <si>
    <t xml:space="preserve">902 144 155</t>
  </si>
  <si>
    <t xml:space="preserve">SANTILLANA EDUCACION S.L.</t>
  </si>
  <si>
    <t xml:space="preserve">4000010133</t>
  </si>
  <si>
    <t xml:space="preserve">https://clientes.santillana.es/Account/Login?returnURL=%2Frol_usu%2FClientesUsuario
usuario: 42020
chave: JsMb9eXk 
</t>
  </si>
  <si>
    <t xml:space="preserve">__import__.res_partner_20000010134</t>
  </si>
  <si>
    <t xml:space="preserve">20000010134</t>
  </si>
  <si>
    <t xml:space="preserve">CESMA S.A.U.</t>
  </si>
  <si>
    <t xml:space="preserve">ESA28388510</t>
  </si>
  <si>
    <t xml:space="preserve">28660</t>
  </si>
  <si>
    <t xml:space="preserve">IMPRESORES,2  URB. PRADO DEL ESPINO</t>
  </si>
  <si>
    <t xml:space="preserve">BOADILLA DEL MONTE</t>
  </si>
  <si>
    <t xml:space="preserve">clientes@grupo-sm.com</t>
  </si>
  <si>
    <t xml:space="preserve">902 12 13 23</t>
  </si>
  <si>
    <t xml:space="preserve">SM EDICIONES</t>
  </si>
  <si>
    <t xml:space="preserve">4000010134</t>
  </si>
  <si>
    <t xml:space="preserve">https://portalclientes.grupo-sm.com
usuario: libros@doustrazos.com
chave: #Dous2011
CLIENTE 206097
FRANCISCO AMEIJEIRAS 600 906 690
francisco.ameijeiras@grupo-sm.com
</t>
  </si>
  <si>
    <t xml:space="preserve">__import__.res_partner_20000010136</t>
  </si>
  <si>
    <t xml:space="preserve">20000010136</t>
  </si>
  <si>
    <t xml:space="preserve">MACMILLAN IBERIA,S.A. </t>
  </si>
  <si>
    <t xml:space="preserve">ESA78603479</t>
  </si>
  <si>
    <t xml:space="preserve">28320 </t>
  </si>
  <si>
    <t xml:space="preserve">POL.IND.MATEU CROMO  CRTA.VILLAVICIOSA DE ODON A PINTO  KM 20200 </t>
  </si>
  <si>
    <t xml:space="preserve">PINTO </t>
  </si>
  <si>
    <t xml:space="preserve">reclamaciones@macmillan.es</t>
  </si>
  <si>
    <t xml:space="preserve">916928992 </t>
  </si>
  <si>
    <t xml:space="preserve">MACMILLAN IBERIA,S.A.</t>
  </si>
  <si>
    <t xml:space="preserve">4000010136</t>
  </si>
  <si>
    <t xml:space="preserve">__import__.res_partner_20000010137</t>
  </si>
  <si>
    <t xml:space="preserve">20000010137</t>
  </si>
  <si>
    <t xml:space="preserve">FUNDACION SOTELO BLANCO</t>
  </si>
  <si>
    <t xml:space="preserve">ESG15422520</t>
  </si>
  <si>
    <t xml:space="preserve">15820</t>
  </si>
  <si>
    <t xml:space="preserve">SAN MARCOS, 77</t>
  </si>
  <si>
    <t xml:space="preserve">SANTIAGO DE COMPOSTELA</t>
  </si>
  <si>
    <t xml:space="preserve">981 582 571</t>
  </si>
  <si>
    <t xml:space="preserve">4000010137</t>
  </si>
  <si>
    <t xml:space="preserve">__import__.res_partner_20000010138</t>
  </si>
  <si>
    <t xml:space="preserve">20000010138</t>
  </si>
  <si>
    <t xml:space="preserve">TOYS AND DREAMS MUSIC</t>
  </si>
  <si>
    <t xml:space="preserve">ES05222067D</t>
  </si>
  <si>
    <t xml:space="preserve">EMILIANO BARRAL, 10B - 7ºA</t>
  </si>
  <si>
    <t xml:space="preserve">RAQUEL@TOYSANDDREAMS.COM</t>
  </si>
  <si>
    <t xml:space="preserve">915 197 386</t>
  </si>
  <si>
    <t xml:space="preserve">TOYS &amp; DREAMS</t>
  </si>
  <si>
    <t xml:space="preserve">4000010138</t>
  </si>
  <si>
    <t xml:space="preserve">__import__.res_partner_20000010139</t>
  </si>
  <si>
    <t xml:space="preserve">20000010139</t>
  </si>
  <si>
    <t xml:space="preserve">AZETA LIBROS Y PAPELERIA, S.L.</t>
  </si>
  <si>
    <t xml:space="preserve">ESB14818009</t>
  </si>
  <si>
    <t xml:space="preserve">18100</t>
  </si>
  <si>
    <t xml:space="preserve">SAN JUAN, S/N</t>
  </si>
  <si>
    <t xml:space="preserve">ARMILLA</t>
  </si>
  <si>
    <t xml:space="preserve">lalonso@azetadistribuciones.es</t>
  </si>
  <si>
    <t xml:space="preserve">916 860 622</t>
  </si>
  <si>
    <t xml:space="preserve">AZETA - UNYBAN LIBROS</t>
  </si>
  <si>
    <t xml:space="preserve">4000010139</t>
  </si>
  <si>
    <r>
      <rPr>
        <sz val="11"/>
        <color rgb="FF000000"/>
        <rFont val="Calibri"/>
        <family val="2"/>
        <charset val="1"/>
      </rPr>
      <t xml:space="preserve">USUARIO: 360006
</t>
    </r>
    <r>
      <rPr>
        <sz val="10"/>
        <color rgb="FF000000"/>
        <rFont val="Arial"/>
        <family val="2"/>
        <charset val="1"/>
      </rPr>
      <t xml:space="preserve">CONTRASEÑA: esperanza11</t>
    </r>
  </si>
  <si>
    <t xml:space="preserve">__import__.res_partner_20000010141</t>
  </si>
  <si>
    <t xml:space="preserve">20000010141</t>
  </si>
  <si>
    <t xml:space="preserve">DUPLEX OFIMATICA, S.L.</t>
  </si>
  <si>
    <t xml:space="preserve">ESB36681682</t>
  </si>
  <si>
    <t xml:space="preserve">36204</t>
  </si>
  <si>
    <t xml:space="preserve">CONDESA BARCENA, 5</t>
  </si>
  <si>
    <t xml:space="preserve">978 470 934</t>
  </si>
  <si>
    <t xml:space="preserve">SERV. TECN. EPSON</t>
  </si>
  <si>
    <t xml:space="preserve">4000010141</t>
  </si>
  <si>
    <t xml:space="preserve">__import__.res_partner_20000010143</t>
  </si>
  <si>
    <t xml:space="preserve">20000010143</t>
  </si>
  <si>
    <t xml:space="preserve">SOLUCIONES Y FORMAS PARA LA OFICINA, S.L.</t>
  </si>
  <si>
    <t xml:space="preserve">ESB99045882</t>
  </si>
  <si>
    <t xml:space="preserve">50004</t>
  </si>
  <si>
    <t xml:space="preserve">PASEO INDEPENDENCIA 8 DPDO 2ª PLANTA</t>
  </si>
  <si>
    <t xml:space="preserve">comercial@solucionesyformas.com</t>
  </si>
  <si>
    <t xml:space="preserve">976 875 248</t>
  </si>
  <si>
    <t xml:space="preserve">SFO</t>
  </si>
  <si>
    <t xml:space="preserve">4000010143</t>
  </si>
  <si>
    <t xml:space="preserve">__import__.res_partner_20000010144</t>
  </si>
  <si>
    <t xml:space="preserve">20000010144</t>
  </si>
  <si>
    <t xml:space="preserve">TOMBOW &amp; ESATIM S.A.</t>
  </si>
  <si>
    <t xml:space="preserve">ESA08999070</t>
  </si>
  <si>
    <t xml:space="preserve">ROSELLO, 211 ENTOL. ESQ.</t>
  </si>
  <si>
    <t xml:space="preserve">93 41 56 552</t>
  </si>
  <si>
    <t xml:space="preserve">TOMBOW</t>
  </si>
  <si>
    <t xml:space="preserve">4000010144</t>
  </si>
  <si>
    <t xml:space="preserve">__import__.res_partner_20000010145</t>
  </si>
  <si>
    <t xml:space="preserve">20000010145</t>
  </si>
  <si>
    <t xml:space="preserve">EDICIONES TAMBRE</t>
  </si>
  <si>
    <t xml:space="preserve">ESR5000274J</t>
  </si>
  <si>
    <t xml:space="preserve">SEVERINO COBAS Nº 142, LAVADORES</t>
  </si>
  <si>
    <t xml:space="preserve">vigo@edicionstambre.com</t>
  </si>
  <si>
    <t xml:space="preserve">986 27 20 13</t>
  </si>
  <si>
    <t xml:space="preserve">4000010145</t>
  </si>
  <si>
    <t xml:space="preserve">__import__.res_partner_20000010146</t>
  </si>
  <si>
    <t xml:space="preserve">20000010146</t>
  </si>
  <si>
    <t xml:space="preserve">EMBALAJE C.B.</t>
  </si>
  <si>
    <t xml:space="preserve">ESE94002326</t>
  </si>
  <si>
    <t xml:space="preserve">CHAN DA GANDARA Nº 29</t>
  </si>
  <si>
    <t xml:space="preserve">PADRONS</t>
  </si>
  <si>
    <t xml:space="preserve">info@embalaje.gl</t>
  </si>
  <si>
    <t xml:space="preserve">986 645 090</t>
  </si>
  <si>
    <t xml:space="preserve">CGDIESMMXXX</t>
  </si>
  <si>
    <t xml:space="preserve">ES3001303086040400020319</t>
  </si>
  <si>
    <t xml:space="preserve">4000010146</t>
  </si>
  <si>
    <t xml:space="preserve">__import__.res_partner_20000010147</t>
  </si>
  <si>
    <t xml:space="preserve">20000010147</t>
  </si>
  <si>
    <t xml:space="preserve">OFIMATICA GAL-SUR, S.L.</t>
  </si>
  <si>
    <t xml:space="preserve">ESB36814549</t>
  </si>
  <si>
    <t xml:space="preserve">Vía Hispanidad, S.L.</t>
  </si>
  <si>
    <t xml:space="preserve">Vigo</t>
  </si>
  <si>
    <t xml:space="preserve">galsur@nauta.es</t>
  </si>
  <si>
    <t xml:space="preserve">986471722</t>
  </si>
  <si>
    <t xml:space="preserve">4000010147</t>
  </si>
  <si>
    <t xml:space="preserve">__import__.res_partner_20000010148</t>
  </si>
  <si>
    <t xml:space="preserve">20000010148</t>
  </si>
  <si>
    <t xml:space="preserve">PRODUCTOS CUSAN S.L.</t>
  </si>
  <si>
    <t xml:space="preserve">ESB98124175</t>
  </si>
  <si>
    <t xml:space="preserve">46022</t>
  </si>
  <si>
    <t xml:space="preserve">C/ING.RAFAEL JANINI 5-13</t>
  </si>
  <si>
    <t xml:space="preserve">info@productoscusan.com</t>
  </si>
  <si>
    <t xml:space="preserve">670 206 598</t>
  </si>
  <si>
    <t xml:space="preserve">4000010148</t>
  </si>
  <si>
    <t xml:space="preserve">__import__.res_partner_20000010149</t>
  </si>
  <si>
    <t xml:space="preserve">20000010149</t>
  </si>
  <si>
    <t xml:space="preserve">HERGO SILLERIA S.L.</t>
  </si>
  <si>
    <t xml:space="preserve">ESB13501036</t>
  </si>
  <si>
    <t xml:space="preserve">POL. IND. LAS VIÑAS C/ VALENCIA, PARCELA 51-52</t>
  </si>
  <si>
    <t xml:space="preserve">info@hergosilleria.es</t>
  </si>
  <si>
    <t xml:space="preserve">926 802 242</t>
  </si>
  <si>
    <t xml:space="preserve">4000010149</t>
  </si>
  <si>
    <r>
      <rPr>
        <sz val="11"/>
        <color rgb="FF000000"/>
        <rFont val="Calibri"/>
        <family val="2"/>
        <charset val="1"/>
      </rPr>
      <t xml:space="preserve">No tiene pedido mínimo.
</t>
    </r>
    <r>
      <rPr>
        <sz val="10"/>
        <color rgb="FF000000"/>
        <rFont val="Arial"/>
        <family val="2"/>
        <charset val="1"/>
      </rPr>
      <t xml:space="preserve">Camión cada tres semanas.</t>
    </r>
  </si>
  <si>
    <t xml:space="preserve">__import__.res_partner_20000010150</t>
  </si>
  <si>
    <t xml:space="preserve">20000010150</t>
  </si>
  <si>
    <t xml:space="preserve">MUEBLES JOVICAL S.L.</t>
  </si>
  <si>
    <t xml:space="preserve">ESB03255296</t>
  </si>
  <si>
    <t xml:space="preserve">03330</t>
  </si>
  <si>
    <t xml:space="preserve">CAMINO DE LA ESTACION S/N POLIGONO I-4 PARCELA 5B</t>
  </si>
  <si>
    <t xml:space="preserve">CREVILLENTE</t>
  </si>
  <si>
    <t xml:space="preserve">emiliopalacios10@gmail.com</t>
  </si>
  <si>
    <t xml:space="preserve">96 540 53 30</t>
  </si>
  <si>
    <t xml:space="preserve">4000010150</t>
  </si>
  <si>
    <t xml:space="preserve">jovical@jovical.com
GRUPO INCLASS
EMILIO PALACIOS
</t>
  </si>
  <si>
    <t xml:space="preserve">__import__.res_partner_20000010151</t>
  </si>
  <si>
    <t xml:space="preserve">20000010151</t>
  </si>
  <si>
    <t xml:space="preserve">REPROGALICIA S.L.</t>
  </si>
  <si>
    <t xml:space="preserve">ESB36824720</t>
  </si>
  <si>
    <t xml:space="preserve">36208</t>
  </si>
  <si>
    <t xml:space="preserve">TORRECEDEIRA Nº 92</t>
  </si>
  <si>
    <t xml:space="preserve">informa@reprogalicia.com</t>
  </si>
  <si>
    <t xml:space="preserve">986 29 33 13</t>
  </si>
  <si>
    <t xml:space="preserve">4000010151</t>
  </si>
  <si>
    <t xml:space="preserve">__import__.res_partner_20000010152</t>
  </si>
  <si>
    <t xml:space="preserve">20000010152</t>
  </si>
  <si>
    <t xml:space="preserve">FISICO Y POLITICO S.L.</t>
  </si>
  <si>
    <t xml:space="preserve">ESB92293141</t>
  </si>
  <si>
    <t xml:space="preserve">POL. SAN LUIS- C/ ATENAS 49</t>
  </si>
  <si>
    <t xml:space="preserve">cabaleiroag@hotmail.com</t>
  </si>
  <si>
    <t xml:space="preserve">952 34 05 75</t>
  </si>
  <si>
    <t xml:space="preserve">TECNODIDACTTICA LIGURE S.P.A.</t>
  </si>
  <si>
    <t xml:space="preserve">4000010152</t>
  </si>
  <si>
    <t xml:space="preserve">REPRESENTANTE SR. CABALEIRO</t>
  </si>
  <si>
    <t xml:space="preserve">__import__.res_partner_20000010156</t>
  </si>
  <si>
    <t xml:space="preserve">20000010156</t>
  </si>
  <si>
    <t xml:space="preserve">CINTAS ADHESIVAS UBIS S.A.</t>
  </si>
  <si>
    <t xml:space="preserve">ESA20034567</t>
  </si>
  <si>
    <t xml:space="preserve">48480</t>
  </si>
  <si>
    <t xml:space="preserve">POL.IND.ATXUKARRO PAB.15</t>
  </si>
  <si>
    <t xml:space="preserve">ARRIGORRIAGA</t>
  </si>
  <si>
    <t xml:space="preserve">galicia@ubis.es</t>
  </si>
  <si>
    <t xml:space="preserve">986 487 881</t>
  </si>
  <si>
    <t xml:space="preserve">UBIS</t>
  </si>
  <si>
    <t xml:space="preserve">4000010156</t>
  </si>
  <si>
    <t xml:space="preserve">__import__.res_partner_20000010158</t>
  </si>
  <si>
    <t xml:space="preserve">20000010158</t>
  </si>
  <si>
    <t xml:space="preserve">TECH DATA ESPAÑA,S.L.UNIP.</t>
  </si>
  <si>
    <t xml:space="preserve">ESB58728585</t>
  </si>
  <si>
    <t xml:space="preserve">08038</t>
  </si>
  <si>
    <t xml:space="preserve">C/. Acer, 30-32</t>
  </si>
  <si>
    <t xml:space="preserve">jtomas@techdata.es</t>
  </si>
  <si>
    <t xml:space="preserve">93 297 00 00</t>
  </si>
  <si>
    <t xml:space="preserve">TECHDATA</t>
  </si>
  <si>
    <t xml:space="preserve">4000010158</t>
  </si>
  <si>
    <t xml:space="preserve">__import__.res_partner_20000010159</t>
  </si>
  <si>
    <t xml:space="preserve">20000010159</t>
  </si>
  <si>
    <t xml:space="preserve">TALIUS TECHNOLOGY, S.L.</t>
  </si>
  <si>
    <t xml:space="preserve">ESB93255008</t>
  </si>
  <si>
    <t xml:space="preserve">CL ATENAS - P.I. SAN LUIS 44</t>
  </si>
  <si>
    <t xml:space="preserve">4000010159</t>
  </si>
  <si>
    <t xml:space="preserve">__import__.res_partner_20000010160</t>
  </si>
  <si>
    <t xml:space="preserve">20000010160</t>
  </si>
  <si>
    <t xml:space="preserve">MEPEL MOBILIARIO DE OFICINA S.A.</t>
  </si>
  <si>
    <t xml:space="preserve">ESB12230504</t>
  </si>
  <si>
    <t xml:space="preserve">12596</t>
  </si>
  <si>
    <t xml:space="preserve">CRA. N-340 KM.1010</t>
  </si>
  <si>
    <t xml:space="preserve">TORREBLANCA</t>
  </si>
  <si>
    <t xml:space="preserve">964421193</t>
  </si>
  <si>
    <t xml:space="preserve">4000010160</t>
  </si>
  <si>
    <t xml:space="preserve">__import__.res_partner_20000010161</t>
  </si>
  <si>
    <t xml:space="preserve">20000010161</t>
  </si>
  <si>
    <t xml:space="preserve">J. BRAÑA DISTRIBUCIONES, S.L.</t>
  </si>
  <si>
    <t xml:space="preserve">ESB36554327</t>
  </si>
  <si>
    <t xml:space="preserve">36416</t>
  </si>
  <si>
    <t xml:space="preserve">POL. IND. REBULLON, S/N</t>
  </si>
  <si>
    <t xml:space="preserve">MOS</t>
  </si>
  <si>
    <t xml:space="preserve">pedidos@jbrana.com</t>
  </si>
  <si>
    <t xml:space="preserve">986.288209</t>
  </si>
  <si>
    <t xml:space="preserve">4000010161</t>
  </si>
  <si>
    <t xml:space="preserve">__import__.res_partner_20000010162</t>
  </si>
  <si>
    <t xml:space="preserve">20000010162</t>
  </si>
  <si>
    <t xml:space="preserve">INCLASS MOBLES, S.L.</t>
  </si>
  <si>
    <t xml:space="preserve">ESB53055349</t>
  </si>
  <si>
    <t xml:space="preserve">cra. de la estacion,s/n. pol. 1-4 parc.5</t>
  </si>
  <si>
    <t xml:space="preserve">crevillente. apdo. 466</t>
  </si>
  <si>
    <t xml:space="preserve">emiliopalacios10@gmail.com </t>
  </si>
  <si>
    <t xml:space="preserve">965 40 52 30</t>
  </si>
  <si>
    <t xml:space="preserve">4000010162</t>
  </si>
  <si>
    <t xml:space="preserve">__import__.res_partner_20000010164</t>
  </si>
  <si>
    <t xml:space="preserve">20000010164</t>
  </si>
  <si>
    <t xml:space="preserve">GRUPO ARMARIOS PERSIANA S.A.U. ( GAPSA)</t>
  </si>
  <si>
    <t xml:space="preserve">ESA61021564</t>
  </si>
  <si>
    <t xml:space="preserve">conca de barberà ,29 - polig. plà brugu.</t>
  </si>
  <si>
    <t xml:space="preserve">CASTELLAR DEL VALLÈS</t>
  </si>
  <si>
    <t xml:space="preserve">comercial3@gapsa.es</t>
  </si>
  <si>
    <t xml:space="preserve">937 142 240</t>
  </si>
  <si>
    <t xml:space="preserve">GAPSA</t>
  </si>
  <si>
    <t xml:space="preserve">4000010164</t>
  </si>
  <si>
    <t xml:space="preserve">03/06/25: Tarifa en vigor 2022 V.4
ENVIAR PEDIDOS A: COMERCIAL4@GAPSA.ES
DESCUENTO: HASTA 1 ARMARIO ..... 43% 
                      HASTA 3 ARMARIO...... 45%
                      DE 4 ADELANTE .......... 47% 
</t>
  </si>
  <si>
    <t xml:space="preserve">__import__.res_partner_20000010165</t>
  </si>
  <si>
    <t xml:space="preserve">20000010165</t>
  </si>
  <si>
    <t xml:space="preserve">SAFTA, S.A.</t>
  </si>
  <si>
    <t xml:space="preserve">ESA46052551</t>
  </si>
  <si>
    <t xml:space="preserve">46970</t>
  </si>
  <si>
    <t xml:space="preserve">poligono de bobalar s/n apdo correos 14</t>
  </si>
  <si>
    <t xml:space="preserve">ALACUAS</t>
  </si>
  <si>
    <t xml:space="preserve">961502000</t>
  </si>
  <si>
    <t xml:space="preserve">4000010165</t>
  </si>
  <si>
    <t xml:space="preserve">__import__.res_partner_20000010167</t>
  </si>
  <si>
    <t xml:space="preserve">20000010167</t>
  </si>
  <si>
    <t xml:space="preserve">ARTIPRES S.L.</t>
  </si>
  <si>
    <t xml:space="preserve">ESB46225165</t>
  </si>
  <si>
    <t xml:space="preserve">ctra. DE SIMAT S/N</t>
  </si>
  <si>
    <t xml:space="preserve">artipres@artipres.com</t>
  </si>
  <si>
    <t xml:space="preserve">962.276061</t>
  </si>
  <si>
    <t xml:space="preserve">4000010167</t>
  </si>
  <si>
    <t xml:space="preserve">__import__.res_partner_20000010168</t>
  </si>
  <si>
    <t xml:space="preserve">20000010168</t>
  </si>
  <si>
    <t xml:space="preserve">MEGABLOK S.A.</t>
  </si>
  <si>
    <t xml:space="preserve">ESA50711498</t>
  </si>
  <si>
    <t xml:space="preserve">50410</t>
  </si>
  <si>
    <t xml:space="preserve">CRA DE VALENCIA KM. 6.7- POL. RIO HUERVA</t>
  </si>
  <si>
    <t xml:space="preserve">CUARTE DE HUERVA</t>
  </si>
  <si>
    <t xml:space="preserve">pedidos@megablok.com </t>
  </si>
  <si>
    <t xml:space="preserve">976 505 488</t>
  </si>
  <si>
    <t xml:space="preserve">4000010168</t>
  </si>
  <si>
    <t xml:space="preserve">PORTES: EN PENÍNSULA
Los portes serán a porte pagado hasta la puerta del cliente a nivel de suelo.
En península para pedidos superiores a 800 € de valor neto de factura.
Para importes inferiores a los indicados se cargará un 10% del importe neto en concepto de portes y se enviará por nuestros medios.
El cualquier caso, el cargo mínimo en concepto de portes será de: 60,00 €
PORTES A LAS ISLAS BALEARES, ISLAS CANARIAS, CEUTA, MELILLA Y ANDORRA,
PEDIDOS MÍNIMOS
TODO PEDIDO DE IMPORTE NETO INFERIOR A 200,00 € (sin contar transporte ni montaje) llevará un recargo de 20,00€ en concepto de gestión/
tramitación de pedido.
DTO 45%
</t>
  </si>
  <si>
    <t xml:space="preserve">__import__.res_partner_20000010173</t>
  </si>
  <si>
    <t xml:space="preserve">20000010173</t>
  </si>
  <si>
    <t xml:space="preserve">TORRE LIBROS, S.L.</t>
  </si>
  <si>
    <t xml:space="preserve">ESB15398563</t>
  </si>
  <si>
    <t xml:space="preserve">15190</t>
  </si>
  <si>
    <t xml:space="preserve">Polígono de Pocomaco, Parcela A-2/8</t>
  </si>
  <si>
    <t xml:space="preserve">A Coruña</t>
  </si>
  <si>
    <t xml:space="preserve">info@torrelibros.com</t>
  </si>
  <si>
    <t xml:space="preserve">981 137 366</t>
  </si>
  <si>
    <t xml:space="preserve">4000010173</t>
  </si>
  <si>
    <t xml:space="preserve">__import__.res_partner_20000010174</t>
  </si>
  <si>
    <t xml:space="preserve">20000010174</t>
  </si>
  <si>
    <t xml:space="preserve">PAPELES Y CINTAS HERLO S.L.</t>
  </si>
  <si>
    <t xml:space="preserve">ESB08332801</t>
  </si>
  <si>
    <t xml:space="preserve">pol. ind. c/ bruselas, 28</t>
  </si>
  <si>
    <t xml:space="preserve">administracion@herlosl.com</t>
  </si>
  <si>
    <t xml:space="preserve">91.8858170</t>
  </si>
  <si>
    <t xml:space="preserve">4000010174</t>
  </si>
  <si>
    <t xml:space="preserve">__import__.res_partner_20000010176</t>
  </si>
  <si>
    <t xml:space="preserve">20000010176</t>
  </si>
  <si>
    <t xml:space="preserve">TALLERES TEXBA S.L.</t>
  </si>
  <si>
    <t xml:space="preserve">C/LLEIDA S/N NAUS A-B</t>
  </si>
  <si>
    <t xml:space="preserve">LLIÇA DE VALL</t>
  </si>
  <si>
    <t xml:space="preserve">4000010176</t>
  </si>
  <si>
    <t xml:space="preserve">__import__.res_partner_20000010177</t>
  </si>
  <si>
    <t xml:space="preserve">20000010177</t>
  </si>
  <si>
    <t xml:space="preserve">DISTRISANTIAGO PAPELERIA VIGO S.L.</t>
  </si>
  <si>
    <t xml:space="preserve">ESB36805331</t>
  </si>
  <si>
    <t xml:space="preserve">15890</t>
  </si>
  <si>
    <t xml:space="preserve">polg. tambre-via pasteur,10</t>
  </si>
  <si>
    <t xml:space="preserve">981.583456</t>
  </si>
  <si>
    <t xml:space="preserve">4000010177</t>
  </si>
  <si>
    <t xml:space="preserve">__import__.res_partner_20000010178</t>
  </si>
  <si>
    <t xml:space="preserve">20000010178</t>
  </si>
  <si>
    <t xml:space="preserve">REPRESENTACIONES J.RULL S.L.</t>
  </si>
  <si>
    <t xml:space="preserve">ESB84330489</t>
  </si>
  <si>
    <t xml:space="preserve">ventasrull@yahoo.es</t>
  </si>
  <si>
    <t xml:space="preserve">91.8868652-6071</t>
  </si>
  <si>
    <t xml:space="preserve">4000010178</t>
  </si>
  <si>
    <t xml:space="preserve">__import__.res_partner_20000010179</t>
  </si>
  <si>
    <t xml:space="preserve">20000010179</t>
  </si>
  <si>
    <t xml:space="preserve">PAPELES DEL ATLANTICO S.L. (UZTURRE)</t>
  </si>
  <si>
    <t xml:space="preserve">ESB36984391</t>
  </si>
  <si>
    <t xml:space="preserve">36380</t>
  </si>
  <si>
    <t xml:space="preserve">POLIGONO DE A PASAXE- VINCIOS.</t>
  </si>
  <si>
    <t xml:space="preserve">uzturre@uzturre.com</t>
  </si>
  <si>
    <t xml:space="preserve">986. 469500</t>
  </si>
  <si>
    <t xml:space="preserve">4000010179</t>
  </si>
  <si>
    <t xml:space="preserve">__import__.res_partner_20000010180</t>
  </si>
  <si>
    <t xml:space="preserve">20000010180</t>
  </si>
  <si>
    <t xml:space="preserve">EDICIONES ESTER JAÉN, S.L. ( EDICARDS)</t>
  </si>
  <si>
    <t xml:space="preserve">ESB61806808</t>
  </si>
  <si>
    <t xml:space="preserve">C/ EMPORDA, 14- POL. IN. PLA DE BRUGUERA</t>
  </si>
  <si>
    <t xml:space="preserve">CASTELLAR DEL VALLÉS</t>
  </si>
  <si>
    <t xml:space="preserve">galicia@grupediciones.com</t>
  </si>
  <si>
    <t xml:space="preserve">93.7143823</t>
  </si>
  <si>
    <t xml:space="preserve">EDICARDS</t>
  </si>
  <si>
    <t xml:space="preserve">4000010180</t>
  </si>
  <si>
    <t xml:space="preserve">__import__.res_partner_20000010181</t>
  </si>
  <si>
    <t xml:space="preserve">20000010181</t>
  </si>
  <si>
    <t xml:space="preserve">JORGE VILLAR PUY</t>
  </si>
  <si>
    <t xml:space="preserve">ES41072653N</t>
  </si>
  <si>
    <t xml:space="preserve">36313</t>
  </si>
  <si>
    <t xml:space="preserve">BAIXADA O CASTELO, 28</t>
  </si>
  <si>
    <t xml:space="preserve">jorgevillarpuy@gmail.com</t>
  </si>
  <si>
    <t xml:space="preserve">986 473 685</t>
  </si>
  <si>
    <t xml:space="preserve">4000010181</t>
  </si>
  <si>
    <t xml:space="preserve">__import__.res_partner_20000010182</t>
  </si>
  <si>
    <t xml:space="preserve">20000010182</t>
  </si>
  <si>
    <t xml:space="preserve">EURONET INFORMATICA S.L.</t>
  </si>
  <si>
    <t xml:space="preserve">ESB18433730</t>
  </si>
  <si>
    <t xml:space="preserve">POL. TEC. DE LOS OGIJARES, C/I, PAR.127</t>
  </si>
  <si>
    <t xml:space="preserve">OGUIJARES</t>
  </si>
  <si>
    <t xml:space="preserve">lauracastro@euronetinformatica.com</t>
  </si>
  <si>
    <t xml:space="preserve">958-509358</t>
  </si>
  <si>
    <t xml:space="preserve">4000010182</t>
  </si>
  <si>
    <t xml:space="preserve">__import__.res_partner_20000010183</t>
  </si>
  <si>
    <t xml:space="preserve">20000010183</t>
  </si>
  <si>
    <t xml:space="preserve">FABRICACION DE ARTICULOS DE</t>
  </si>
  <si>
    <t xml:space="preserve">ESA08258576</t>
  </si>
  <si>
    <t xml:space="preserve">ESCRITORIO S.A. ( FADE )</t>
  </si>
  <si>
    <t xml:space="preserve">fadearchivo@sefes.es</t>
  </si>
  <si>
    <t xml:space="preserve">93. 835 00 34</t>
  </si>
  <si>
    <t xml:space="preserve">4000010183</t>
  </si>
  <si>
    <t xml:space="preserve">__import__.res_partner_20000010186</t>
  </si>
  <si>
    <t xml:space="preserve">20000010186</t>
  </si>
  <si>
    <t xml:space="preserve">SERIGRAFIA SERIG-MOS</t>
  </si>
  <si>
    <t xml:space="preserve">ESB36355790</t>
  </si>
  <si>
    <t xml:space="preserve">URGUEIRA, 9 S. ESTEBAN DE BUDIÑO</t>
  </si>
  <si>
    <t xml:space="preserve">SALCEDA DE CASELAS</t>
  </si>
  <si>
    <t xml:space="preserve">986 330 009</t>
  </si>
  <si>
    <t xml:space="preserve">4000010186</t>
  </si>
  <si>
    <t xml:space="preserve">__import__.res_partner_20000010188</t>
  </si>
  <si>
    <t xml:space="preserve">20000010188</t>
  </si>
  <si>
    <t xml:space="preserve">PERSIVEN IBERICA S.L.</t>
  </si>
  <si>
    <t xml:space="preserve">ESB36109403</t>
  </si>
  <si>
    <t xml:space="preserve">CRA. TAMEIGA-MOS,220</t>
  </si>
  <si>
    <t xml:space="preserve">administracion@persiven.com</t>
  </si>
  <si>
    <t xml:space="preserve">986 335 460</t>
  </si>
  <si>
    <t xml:space="preserve">4000010188</t>
  </si>
  <si>
    <t xml:space="preserve">__import__.res_partner_20000010189</t>
  </si>
  <si>
    <t xml:space="preserve">20000010189</t>
  </si>
  <si>
    <t xml:space="preserve">PUBLICIDAD ABRIL SALVATERRA S.L.</t>
  </si>
  <si>
    <t xml:space="preserve">ESB36268563</t>
  </si>
  <si>
    <t xml:space="preserve">36459</t>
  </si>
  <si>
    <t xml:space="preserve">BARRIO COUTO, 41</t>
  </si>
  <si>
    <t xml:space="preserve">SALVATERRA DE MIÑO</t>
  </si>
  <si>
    <t xml:space="preserve">admon@abrilpublicidad.es</t>
  </si>
  <si>
    <t xml:space="preserve">986 659 155</t>
  </si>
  <si>
    <t xml:space="preserve">4000010189</t>
  </si>
  <si>
    <t xml:space="preserve">__import__.res_partner_20000010191</t>
  </si>
  <si>
    <t xml:space="preserve">20000010191</t>
  </si>
  <si>
    <t xml:space="preserve">FRANCESCO BRIZZOLARI S.R.L.</t>
  </si>
  <si>
    <t xml:space="preserve">IT0085047015</t>
  </si>
  <si>
    <t xml:space="preserve">26845</t>
  </si>
  <si>
    <t xml:space="preserve">VIA SAN PERTINI, 62</t>
  </si>
  <si>
    <t xml:space="preserve">CODOGNO (LO)</t>
  </si>
  <si>
    <t xml:space="preserve">39 0377 3131236</t>
  </si>
  <si>
    <t xml:space="preserve">4000010191</t>
  </si>
  <si>
    <t xml:space="preserve">Portes pagos para pedidos + 1800€</t>
  </si>
  <si>
    <t xml:space="preserve">__import__.res_partner_20000010193</t>
  </si>
  <si>
    <t xml:space="preserve">20000010193</t>
  </si>
  <si>
    <t xml:space="preserve">LEBER S.L.</t>
  </si>
  <si>
    <t xml:space="preserve">ESB08486391</t>
  </si>
  <si>
    <t xml:space="preserve">JOAN MIRO, 23</t>
  </si>
  <si>
    <t xml:space="preserve">SANT ADRIÀ DE BESÒS</t>
  </si>
  <si>
    <t xml:space="preserve">93 462 22 21</t>
  </si>
  <si>
    <t xml:space="preserve">4000010193</t>
  </si>
  <si>
    <t xml:space="preserve">__import__.res_partner_20000010194</t>
  </si>
  <si>
    <t xml:space="preserve">20000010194</t>
  </si>
  <si>
    <t xml:space="preserve">PUBLIEMBAL DECOR C.B.</t>
  </si>
  <si>
    <t xml:space="preserve">ESE36940971</t>
  </si>
  <si>
    <t xml:space="preserve">AVDA. CONCORDIA 68 -2ºB</t>
  </si>
  <si>
    <t xml:space="preserve">grupopubliembal@grupopubliembal.com</t>
  </si>
  <si>
    <t xml:space="preserve">635 603 007</t>
  </si>
  <si>
    <t xml:space="preserve">4000010194</t>
  </si>
  <si>
    <t xml:space="preserve">__import__.res_partner_20000010195</t>
  </si>
  <si>
    <t xml:space="preserve">20000010195</t>
  </si>
  <si>
    <t xml:space="preserve">TAMPOINDUSTRIAL GALLEGA, S.L. ( BBP )</t>
  </si>
  <si>
    <t xml:space="preserve">ESB36834877</t>
  </si>
  <si>
    <t xml:space="preserve">36216</t>
  </si>
  <si>
    <t xml:space="preserve">CÑO DO LARANXO S/N (TEIS) NAVE 4B</t>
  </si>
  <si>
    <t xml:space="preserve">bbp@bbpvigo.com</t>
  </si>
  <si>
    <t xml:space="preserve">986 45 42 92</t>
  </si>
  <si>
    <t xml:space="preserve">4000010195</t>
  </si>
  <si>
    <t xml:space="preserve">__import__.res_partner_20000010196</t>
  </si>
  <si>
    <t xml:space="preserve">20000010196</t>
  </si>
  <si>
    <t xml:space="preserve">Mº DEL CARMEN GARCIA NOYA . PAPEL ART</t>
  </si>
  <si>
    <t xml:space="preserve">ES36073495L</t>
  </si>
  <si>
    <t xml:space="preserve">36312</t>
  </si>
  <si>
    <t xml:space="preserve">POL. IND. BEADE, NAVE 5. CRA SEIXIÑOS SN</t>
  </si>
  <si>
    <t xml:space="preserve">986 418 877</t>
  </si>
  <si>
    <t xml:space="preserve">4000010196</t>
  </si>
  <si>
    <t xml:space="preserve">__import__.res_partner_20000010200</t>
  </si>
  <si>
    <t xml:space="preserve">20000010200</t>
  </si>
  <si>
    <t xml:space="preserve">DECOREQUIP, S.A.</t>
  </si>
  <si>
    <t xml:space="preserve">ESA33216516</t>
  </si>
  <si>
    <t xml:space="preserve">POL. IND. A GRANXA PARCELA 260</t>
  </si>
  <si>
    <t xml:space="preserve">986 34 21 42</t>
  </si>
  <si>
    <t xml:space="preserve">4000010200</t>
  </si>
  <si>
    <t xml:space="preserve">__import__.res_partner_20000010203</t>
  </si>
  <si>
    <t xml:space="preserve">20000010203</t>
  </si>
  <si>
    <t xml:space="preserve">VIGUESA DE COCINAS, S.A. VICOSA</t>
  </si>
  <si>
    <t xml:space="preserve">ESA36859973</t>
  </si>
  <si>
    <t xml:space="preserve">36318</t>
  </si>
  <si>
    <t xml:space="preserve">GORXAL S/N EDIFICIO VICOSA</t>
  </si>
  <si>
    <t xml:space="preserve">902 266262</t>
  </si>
  <si>
    <t xml:space="preserve">4000010203</t>
  </si>
  <si>
    <t xml:space="preserve">__import__.res_partner_20000010204</t>
  </si>
  <si>
    <t xml:space="preserve">20000010204</t>
  </si>
  <si>
    <t xml:space="preserve">INFORCIN S.A.</t>
  </si>
  <si>
    <t xml:space="preserve">ESA36846574</t>
  </si>
  <si>
    <t xml:space="preserve">TRAVESIA DO PINO Nº 2 ENTRESUELO</t>
  </si>
  <si>
    <t xml:space="preserve">986 25 30 99</t>
  </si>
  <si>
    <t xml:space="preserve">4000010204</t>
  </si>
  <si>
    <t xml:space="preserve">__import__.res_partner_20000010211</t>
  </si>
  <si>
    <t xml:space="preserve">20000010211</t>
  </si>
  <si>
    <t xml:space="preserve">ENERCLASS, S.L.</t>
  </si>
  <si>
    <t xml:space="preserve">ESB98027303</t>
  </si>
  <si>
    <t xml:space="preserve">14014</t>
  </si>
  <si>
    <t xml:space="preserve">AVDA. AGRUPACION CORDOBA 19 PARQ.EMPRES.PEDROCHES NAVE 7A</t>
  </si>
  <si>
    <t xml:space="preserve">merche@enerclass.es</t>
  </si>
  <si>
    <t xml:space="preserve">957 103 433</t>
  </si>
  <si>
    <t xml:space="preserve">4000010211</t>
  </si>
  <si>
    <t xml:space="preserve">__import__.res_partner_20000010219</t>
  </si>
  <si>
    <t xml:space="preserve">20000010219</t>
  </si>
  <si>
    <t xml:space="preserve">THE CHAIRPRO COMPANY, S.L.</t>
  </si>
  <si>
    <t xml:space="preserve">ESB86785961</t>
  </si>
  <si>
    <t xml:space="preserve">28109</t>
  </si>
  <si>
    <t xml:space="preserve">C/ Camino Nuevo, 134</t>
  </si>
  <si>
    <t xml:space="preserve">900.555.585</t>
  </si>
  <si>
    <t xml:space="preserve">4000010219</t>
  </si>
  <si>
    <t xml:space="preserve">__import__.res_partner_20000010220</t>
  </si>
  <si>
    <t xml:space="preserve">20000010220</t>
  </si>
  <si>
    <t xml:space="preserve">RECAIMPORT SPAIN S.L.</t>
  </si>
  <si>
    <t xml:space="preserve">ESB98366578</t>
  </si>
  <si>
    <t xml:space="preserve">46015</t>
  </si>
  <si>
    <t xml:space="preserve">MONESTIR DE POBLET, 28 BAJO IZQ.</t>
  </si>
  <si>
    <t xml:space="preserve">info@papelcost.com</t>
  </si>
  <si>
    <t xml:space="preserve">96 346 79 26</t>
  </si>
  <si>
    <t xml:space="preserve">PAPELCOST</t>
  </si>
  <si>
    <t xml:space="preserve">4000010220</t>
  </si>
  <si>
    <t xml:space="preserve">__import__.res_partner_20000010221</t>
  </si>
  <si>
    <t xml:space="preserve">20000010221</t>
  </si>
  <si>
    <t xml:space="preserve">ROYMART S.L.</t>
  </si>
  <si>
    <t xml:space="preserve">ESB58263526</t>
  </si>
  <si>
    <t xml:space="preserve">POL. IND. CAN PATALINA, ARENYS, 14 NAVE</t>
  </si>
  <si>
    <t xml:space="preserve">maytefertu@gmail.com</t>
  </si>
  <si>
    <t xml:space="preserve">93 761 24 64</t>
  </si>
  <si>
    <t xml:space="preserve">4000010221</t>
  </si>
  <si>
    <t xml:space="preserve">__import__.res_partner_20000010222</t>
  </si>
  <si>
    <t xml:space="preserve">20000010222</t>
  </si>
  <si>
    <t xml:space="preserve">ITEM INTERNACIONAL S.A.</t>
  </si>
  <si>
    <t xml:space="preserve">ESA58025313</t>
  </si>
  <si>
    <t xml:space="preserve">FERROCARRIL, 7  P.I. CAN ESTAPE</t>
  </si>
  <si>
    <t xml:space="preserve">cial@itemint.com</t>
  </si>
  <si>
    <t xml:space="preserve">93 776 83 00</t>
  </si>
  <si>
    <t xml:space="preserve">BSCHESMMXXX</t>
  </si>
  <si>
    <t xml:space="preserve">ES8100491911702410010731</t>
  </si>
  <si>
    <t xml:space="preserve">4000010222</t>
  </si>
  <si>
    <t xml:space="preserve">__import__.res_partner_20000010223</t>
  </si>
  <si>
    <t xml:space="preserve">20000010223</t>
  </si>
  <si>
    <t xml:space="preserve">NOVOFORMA SISTEMAS S.A.</t>
  </si>
  <si>
    <t xml:space="preserve">ESA39063045</t>
  </si>
  <si>
    <t xml:space="preserve">CRA GENERAL S/N -SOBREMAZAS</t>
  </si>
  <si>
    <t xml:space="preserve">SOBREMAZAS</t>
  </si>
  <si>
    <t xml:space="preserve">info@novoforma.com</t>
  </si>
  <si>
    <t xml:space="preserve">942 520 112</t>
  </si>
  <si>
    <t xml:space="preserve">NOVOFORMA SISTEMAS</t>
  </si>
  <si>
    <t xml:space="preserve">4000010223</t>
  </si>
  <si>
    <t xml:space="preserve">__import__.res_partner_20000010224</t>
  </si>
  <si>
    <t xml:space="preserve">20000010224</t>
  </si>
  <si>
    <t xml:space="preserve">ECOLOGIC PARTNER, S.L.</t>
  </si>
  <si>
    <t xml:space="preserve">ESB96992185</t>
  </si>
  <si>
    <t xml:space="preserve">P.I. LA COMA, PARC. 33, NAVE 2</t>
  </si>
  <si>
    <t xml:space="preserve">PICASSENT</t>
  </si>
  <si>
    <t xml:space="preserve">pedidos@limpioyfresco.com</t>
  </si>
  <si>
    <t xml:space="preserve">961 241 343</t>
  </si>
  <si>
    <t xml:space="preserve">LIMPIO Y FRESCO</t>
  </si>
  <si>
    <t xml:space="preserve">4000010224</t>
  </si>
  <si>
    <t xml:space="preserve">__import__.res_partner_20000010225</t>
  </si>
  <si>
    <t xml:space="preserve">20000010225</t>
  </si>
  <si>
    <t xml:space="preserve">SOFTWARE Y COMUNICACIONES MARKA INFORMATICA, S.L.</t>
  </si>
  <si>
    <t xml:space="preserve">ESB36742153</t>
  </si>
  <si>
    <t xml:space="preserve">AV. MADRID, 11</t>
  </si>
  <si>
    <t xml:space="preserve">986 480 045</t>
  </si>
  <si>
    <t xml:space="preserve">MARKA INFORMATICA</t>
  </si>
  <si>
    <t xml:space="preserve">4000010225</t>
  </si>
  <si>
    <t xml:space="preserve">__import__.res_partner_20000010227</t>
  </si>
  <si>
    <t xml:space="preserve">20000010227</t>
  </si>
  <si>
    <t xml:space="preserve">PC JOVE INFORMATICA, S.L.</t>
  </si>
  <si>
    <t xml:space="preserve">ESB97660856</t>
  </si>
  <si>
    <t xml:space="preserve">AV. PUERTO, 64 - ENTLO. 3</t>
  </si>
  <si>
    <t xml:space="preserve">POS SPAIN</t>
  </si>
  <si>
    <t xml:space="preserve">4000010227</t>
  </si>
  <si>
    <t xml:space="preserve">__import__.res_partner_20000010228</t>
  </si>
  <si>
    <t xml:space="preserve">20000010228</t>
  </si>
  <si>
    <t xml:space="preserve">GRUP VIADA MATARO, S.L.</t>
  </si>
  <si>
    <t xml:space="preserve">ESB64461312</t>
  </si>
  <si>
    <t xml:space="preserve">CAMI DEL SANT CRIST, 38-40</t>
  </si>
  <si>
    <t xml:space="preserve">INFO@VIADA.NET</t>
  </si>
  <si>
    <t xml:space="preserve">902 222 025</t>
  </si>
  <si>
    <t xml:space="preserve">VIADA</t>
  </si>
  <si>
    <t xml:space="preserve">4000010228</t>
  </si>
  <si>
    <t xml:space="preserve">__import__.res_partner_20000010229</t>
  </si>
  <si>
    <t xml:space="preserve">20000010229</t>
  </si>
  <si>
    <t xml:space="preserve">HERME PLUS  S.L.</t>
  </si>
  <si>
    <t xml:space="preserve">ESB85356160</t>
  </si>
  <si>
    <t xml:space="preserve">PTO. NAVACERRADA, 83</t>
  </si>
  <si>
    <t xml:space="preserve">POL. IND. LAS NIEVES</t>
  </si>
  <si>
    <t xml:space="preserve">mjsalcedo@grupoherme.com</t>
  </si>
  <si>
    <t xml:space="preserve">91 616 5475</t>
  </si>
  <si>
    <t xml:space="preserve">ES5700491815142610377639</t>
  </si>
  <si>
    <t xml:space="preserve">WORLDCASH</t>
  </si>
  <si>
    <t xml:space="preserve">4000010229</t>
  </si>
  <si>
    <t xml:space="preserve">__import__.res_partner_20000010230</t>
  </si>
  <si>
    <t xml:space="preserve">20000010230</t>
  </si>
  <si>
    <t xml:space="preserve">AMAZON EU, SARL </t>
  </si>
  <si>
    <t xml:space="preserve">ESN1081152I</t>
  </si>
  <si>
    <t xml:space="preserve">PASEO CASTALLANA, 95</t>
  </si>
  <si>
    <t xml:space="preserve">ED. TORRE EUROPA</t>
  </si>
  <si>
    <t xml:space="preserve">4000010230</t>
  </si>
  <si>
    <t xml:space="preserve">__import__.res_partner_20000010232</t>
  </si>
  <si>
    <t xml:space="preserve">20000010232</t>
  </si>
  <si>
    <t xml:space="preserve">FLT TECHNOLOGY, S.L.</t>
  </si>
  <si>
    <t xml:space="preserve">ESB94083623</t>
  </si>
  <si>
    <t xml:space="preserve">ALCALDE LAVADORES, 96</t>
  </si>
  <si>
    <t xml:space="preserve">986 424 885</t>
  </si>
  <si>
    <t xml:space="preserve">4000010232</t>
  </si>
  <si>
    <t xml:space="preserve">__import__.res_partner_20000010233</t>
  </si>
  <si>
    <t xml:space="preserve">20000010233</t>
  </si>
  <si>
    <t xml:space="preserve">ECOREISAN CANTABRIA, S.COOP.</t>
  </si>
  <si>
    <t xml:space="preserve">ESF39769351</t>
  </si>
  <si>
    <t xml:space="preserve">POLIGONO ELEGARCU, S/N</t>
  </si>
  <si>
    <t xml:space="preserve">sonia.ecoreisan@hotmail.com</t>
  </si>
  <si>
    <t xml:space="preserve">942 250 606</t>
  </si>
  <si>
    <t xml:space="preserve">ECOREISAN</t>
  </si>
  <si>
    <t xml:space="preserve">4000010233</t>
  </si>
  <si>
    <t xml:space="preserve">__import__.res_partner_20000010234</t>
  </si>
  <si>
    <t xml:space="preserve">20000010234</t>
  </si>
  <si>
    <t xml:space="preserve">ESPACIO DO LECTOR,S.L.</t>
  </si>
  <si>
    <t xml:space="preserve">ESB36164820</t>
  </si>
  <si>
    <t xml:space="preserve">36630</t>
  </si>
  <si>
    <t xml:space="preserve">AVDA.VILARIÑO 4</t>
  </si>
  <si>
    <t xml:space="preserve">CAMBADOS </t>
  </si>
  <si>
    <t xml:space="preserve">cambados@libreriasnobel.es</t>
  </si>
  <si>
    <t xml:space="preserve">986 521 111</t>
  </si>
  <si>
    <t xml:space="preserve">4000010234</t>
  </si>
  <si>
    <t xml:space="preserve">__import__.res_partner_20000010235</t>
  </si>
  <si>
    <t xml:space="preserve">20000010235</t>
  </si>
  <si>
    <t xml:space="preserve">DEDI, S.L.</t>
  </si>
  <si>
    <t xml:space="preserve">ESB28455087</t>
  </si>
  <si>
    <t xml:space="preserve">AV. LAREDO, 9</t>
  </si>
  <si>
    <t xml:space="preserve">POL. IND. EL ALAMO</t>
  </si>
  <si>
    <t xml:space="preserve">VENTAS@DEDISL.COM</t>
  </si>
  <si>
    <t xml:space="preserve">916 067 852</t>
  </si>
  <si>
    <t xml:space="preserve">DEDI</t>
  </si>
  <si>
    <t xml:space="preserve">4000010235</t>
  </si>
  <si>
    <t xml:space="preserve">__import__.res_partner_20000010236</t>
  </si>
  <si>
    <t xml:space="preserve">20000010236</t>
  </si>
  <si>
    <t xml:space="preserve">ETIROL, S.L.</t>
  </si>
  <si>
    <t xml:space="preserve">ESB78481256</t>
  </si>
  <si>
    <t xml:space="preserve">28918</t>
  </si>
  <si>
    <t xml:space="preserve">AVDA. HERRAMIENTAS, 36</t>
  </si>
  <si>
    <t xml:space="preserve">LEGANES</t>
  </si>
  <si>
    <t xml:space="preserve">ESTHER@ETIROL.COM</t>
  </si>
  <si>
    <t xml:space="preserve">916 416 770</t>
  </si>
  <si>
    <t xml:space="preserve">4000010236</t>
  </si>
  <si>
    <t xml:space="preserve">__import__.res_partner_20000010237</t>
  </si>
  <si>
    <t xml:space="preserve">20000010237</t>
  </si>
  <si>
    <t xml:space="preserve">SERVICIOS DE COMUNICACIONES INTEGRALES DE EXTREMADURA, S.L.</t>
  </si>
  <si>
    <t xml:space="preserve">ESB06422299</t>
  </si>
  <si>
    <t xml:space="preserve">06011</t>
  </si>
  <si>
    <t xml:space="preserve">AV. PERU, 25 - LOCAL 20</t>
  </si>
  <si>
    <t xml:space="preserve">BADAJOZ</t>
  </si>
  <si>
    <t xml:space="preserve">XTREM MEDIA</t>
  </si>
  <si>
    <t xml:space="preserve">4000010237</t>
  </si>
  <si>
    <t xml:space="preserve">__import__.res_partner_20000010238</t>
  </si>
  <si>
    <t xml:space="preserve">20000010238</t>
  </si>
  <si>
    <t xml:space="preserve">JOSÉ BORDA &amp; Cº LDA</t>
  </si>
  <si>
    <t xml:space="preserve">PT502907100</t>
  </si>
  <si>
    <t xml:space="preserve">4490-680</t>
  </si>
  <si>
    <t xml:space="preserve">RUA SERPA PINTO Nº 103</t>
  </si>
  <si>
    <t xml:space="preserve">RUA G. ARMAZENS 2A1,2B1 E 3A</t>
  </si>
  <si>
    <t xml:space="preserve">PÓVOA DE VARZIM</t>
  </si>
  <si>
    <t xml:space="preserve">geral@joseborda.pt</t>
  </si>
  <si>
    <t xml:space="preserve">00351252600100</t>
  </si>
  <si>
    <t xml:space="preserve">J B C</t>
  </si>
  <si>
    <t xml:space="preserve">4000010238</t>
  </si>
  <si>
    <t xml:space="preserve">__import__.res_partner_20000010239</t>
  </si>
  <si>
    <t xml:space="preserve">20000010239</t>
  </si>
  <si>
    <t xml:space="preserve">MARIA TERESA CASTRO PENAS </t>
  </si>
  <si>
    <t xml:space="preserve">ES36054926B</t>
  </si>
  <si>
    <t xml:space="preserve">30150</t>
  </si>
  <si>
    <t xml:space="preserve">PLAZA FEDERICO GARCIA LORCA Nº 14</t>
  </si>
  <si>
    <t xml:space="preserve">LA ALBERCA </t>
  </si>
  <si>
    <t xml:space="preserve">dkastro@dkastro.es</t>
  </si>
  <si>
    <t xml:space="preserve">D'KASTRO</t>
  </si>
  <si>
    <t xml:space="preserve">4000010239</t>
  </si>
  <si>
    <t xml:space="preserve">__import__.res_partner_20000010241</t>
  </si>
  <si>
    <t xml:space="preserve">20000010241</t>
  </si>
  <si>
    <t xml:space="preserve">GRENKE RENT S.A.</t>
  </si>
  <si>
    <t xml:space="preserve">ESA85127629</t>
  </si>
  <si>
    <t xml:space="preserve">28230</t>
  </si>
  <si>
    <t xml:space="preserve">PLAYA DE LAS AMÉRICAS 2 EDF CODESA2</t>
  </si>
  <si>
    <t xml:space="preserve">servicio-mad@grenke.es</t>
  </si>
  <si>
    <t xml:space="preserve">916305672</t>
  </si>
  <si>
    <t xml:space="preserve">4000010241</t>
  </si>
  <si>
    <t xml:space="preserve">__import__.res_partner_20000010242</t>
  </si>
  <si>
    <t xml:space="preserve">20000010242</t>
  </si>
  <si>
    <t xml:space="preserve">BIG TOYS S.L.</t>
  </si>
  <si>
    <t xml:space="preserve">ESB65875551</t>
  </si>
  <si>
    <t xml:space="preserve">08911</t>
  </si>
  <si>
    <t xml:space="preserve">C/ FLUVIÁ, 65 BIS</t>
  </si>
  <si>
    <t xml:space="preserve">info@tinctoys.com</t>
  </si>
  <si>
    <t xml:space="preserve">93 384 54 37</t>
  </si>
  <si>
    <t xml:space="preserve">TINCTOYS</t>
  </si>
  <si>
    <t xml:space="preserve">4000010242</t>
  </si>
  <si>
    <t xml:space="preserve">__import__.res_partner_20000010243</t>
  </si>
  <si>
    <t xml:space="preserve">20000010243</t>
  </si>
  <si>
    <t xml:space="preserve">4000010243</t>
  </si>
  <si>
    <t xml:space="preserve">__import__.res_partner_20000010244</t>
  </si>
  <si>
    <t xml:space="preserve">20000010244</t>
  </si>
  <si>
    <t xml:space="preserve">GRENKE ALQUILER S.A.</t>
  </si>
  <si>
    <t xml:space="preserve">ESA62652805</t>
  </si>
  <si>
    <t xml:space="preserve">08007</t>
  </si>
  <si>
    <t xml:space="preserve">PASSEIG DE GRACIA 28 1º2A</t>
  </si>
  <si>
    <t xml:space="preserve">servicio-bcn@grenke.es</t>
  </si>
  <si>
    <t xml:space="preserve">4000010244</t>
  </si>
  <si>
    <t xml:space="preserve">__import__.res_partner_20000010245</t>
  </si>
  <si>
    <t xml:space="preserve">20000010245</t>
  </si>
  <si>
    <t xml:space="preserve">R CABLE Y COMUNICACIONES GALICIA S.A.</t>
  </si>
  <si>
    <t xml:space="preserve">ESA15474281</t>
  </si>
  <si>
    <t xml:space="preserve">15003</t>
  </si>
  <si>
    <t xml:space="preserve">REAL 85</t>
  </si>
  <si>
    <t xml:space="preserve">4000010245</t>
  </si>
  <si>
    <t xml:space="preserve">https://portalclientes.mundo-r.com/
Usuario: B36554327
Contraseña: Dous.2011
</t>
  </si>
  <si>
    <t xml:space="preserve">__import__.res_partner_20000010246</t>
  </si>
  <si>
    <t xml:space="preserve">20000010246</t>
  </si>
  <si>
    <t xml:space="preserve">DMI COMPUTER, S.A.</t>
  </si>
  <si>
    <t xml:space="preserve">ESA79522702</t>
  </si>
  <si>
    <t xml:space="preserve">AV. SISTEMA SOLAR. 34</t>
  </si>
  <si>
    <t xml:space="preserve">SAN FERNANDO DE HENARES</t>
  </si>
  <si>
    <t xml:space="preserve">902 309 696</t>
  </si>
  <si>
    <t xml:space="preserve">4000010246</t>
  </si>
  <si>
    <t xml:space="preserve">usuario: CT075102
contraseña: #Dous.2011
CONDICIONES (08/11/2024)
- Pedidos hasta las 18h, nos llegan al día siguiente.
- Recogida RMA gratis 1 día a la semana
- 1 mes para devoluciones (sin abrir)
</t>
  </si>
  <si>
    <t xml:space="preserve">__import__.res_partner_20000010247</t>
  </si>
  <si>
    <t xml:space="preserve">20000010247</t>
  </si>
  <si>
    <t xml:space="preserve">GALINOVA EDITORIAL, S.L.</t>
  </si>
  <si>
    <t xml:space="preserve">ESB15313349</t>
  </si>
  <si>
    <t xml:space="preserve">15009</t>
  </si>
  <si>
    <t xml:space="preserve">RAFAEL BAREZ VAZQUEZ, 8</t>
  </si>
  <si>
    <t xml:space="preserve">galinova@galinovaeditorial.com</t>
  </si>
  <si>
    <t xml:space="preserve">981 139 057</t>
  </si>
  <si>
    <t xml:space="preserve">GALINOVA</t>
  </si>
  <si>
    <t xml:space="preserve">4000010247</t>
  </si>
  <si>
    <t xml:space="preserve">__import__.res_partner_20000010248</t>
  </si>
  <si>
    <t xml:space="preserve">20000010248</t>
  </si>
  <si>
    <t xml:space="preserve">ASTURLIBROS &amp; NOROESTE SL</t>
  </si>
  <si>
    <t xml:space="preserve">ESB33037417</t>
  </si>
  <si>
    <t xml:space="preserve">33192</t>
  </si>
  <si>
    <t xml:space="preserve">Pg. Ind de Silvota - C. Peña Salón, 93-94</t>
  </si>
  <si>
    <t xml:space="preserve">Llanera</t>
  </si>
  <si>
    <t xml:space="preserve">985 980 740</t>
  </si>
  <si>
    <t xml:space="preserve">ASTURLIBROS</t>
  </si>
  <si>
    <t xml:space="preserve">4000010248</t>
  </si>
  <si>
    <r>
      <rPr>
        <sz val="11"/>
        <color rgb="FF000000"/>
        <rFont val="Calibri"/>
        <family val="2"/>
        <charset val="1"/>
      </rPr>
      <t xml:space="preserve">Usuario: 9439
</t>
    </r>
    <r>
      <rPr>
        <sz val="10"/>
        <color rgb="FF000000"/>
        <rFont val="Arial"/>
        <family val="2"/>
        <charset val="1"/>
      </rPr>
      <t xml:space="preserve">Contraseña: TRAZOS11</t>
    </r>
  </si>
  <si>
    <t xml:space="preserve">__import__.res_partner_20000010249</t>
  </si>
  <si>
    <t xml:space="preserve">20000010249</t>
  </si>
  <si>
    <t xml:space="preserve">BLUESTAR EUROPE DISTRIBUTION BV</t>
  </si>
  <si>
    <t xml:space="preserve">NL852024551B</t>
  </si>
  <si>
    <t xml:space="preserve">2514 AB</t>
  </si>
  <si>
    <t xml:space="preserve">KONINGINNEGRACHT, 19</t>
  </si>
  <si>
    <t xml:space="preserve">DEN HAAG</t>
  </si>
  <si>
    <t xml:space="preserve">BLUESTAR</t>
  </si>
  <si>
    <t xml:space="preserve">4000010249</t>
  </si>
  <si>
    <t xml:space="preserve">__import__.res_partner_20000010251</t>
  </si>
  <si>
    <t xml:space="preserve">20000010251</t>
  </si>
  <si>
    <t xml:space="preserve">JANSEN DISPLAY IBERIA, S.L.</t>
  </si>
  <si>
    <t xml:space="preserve">ESB65970576</t>
  </si>
  <si>
    <t xml:space="preserve">08080</t>
  </si>
  <si>
    <t xml:space="preserve">PELAYO, 12</t>
  </si>
  <si>
    <t xml:space="preserve">933 153 020</t>
  </si>
  <si>
    <t xml:space="preserve">4000010251</t>
  </si>
  <si>
    <t xml:space="preserve">__import__.res_partner_20000010252</t>
  </si>
  <si>
    <t xml:space="preserve">20000010252</t>
  </si>
  <si>
    <t xml:space="preserve">VERTICEVIDENTE UNIPERSONAL LDA</t>
  </si>
  <si>
    <t xml:space="preserve">PT510901123</t>
  </si>
  <si>
    <t xml:space="preserve">4480-628</t>
  </si>
  <si>
    <t xml:space="preserve">R JOSE RAMOS MAIA, LOTE 20 N. 367 ARMACEN 1</t>
  </si>
  <si>
    <t xml:space="preserve">ARVORE</t>
  </si>
  <si>
    <t xml:space="preserve">252 102720</t>
  </si>
  <si>
    <t xml:space="preserve">VERTIVEVIDENTE</t>
  </si>
  <si>
    <t xml:space="preserve">4000010252</t>
  </si>
  <si>
    <t xml:space="preserve">__import__.res_partner_20000010253</t>
  </si>
  <si>
    <t xml:space="preserve">20000010253</t>
  </si>
  <si>
    <t xml:space="preserve">MERCAPEL S.L.</t>
  </si>
  <si>
    <t xml:space="preserve">ESB33306028</t>
  </si>
  <si>
    <t xml:space="preserve">33011</t>
  </si>
  <si>
    <t xml:space="preserve">LA CORREDORIA </t>
  </si>
  <si>
    <t xml:space="preserve">OVIEDO</t>
  </si>
  <si>
    <t xml:space="preserve">juanjosefreitas@gmail.com</t>
  </si>
  <si>
    <t xml:space="preserve">985 286 051</t>
  </si>
  <si>
    <t xml:space="preserve">MERCAPEL</t>
  </si>
  <si>
    <t xml:space="preserve">4000010253</t>
  </si>
  <si>
    <t xml:space="preserve">__import__.res_partner_20000010254</t>
  </si>
  <si>
    <t xml:space="preserve">20000010254</t>
  </si>
  <si>
    <t xml:space="preserve">MINK BLAU S.L.</t>
  </si>
  <si>
    <t xml:space="preserve">ESB66300542</t>
  </si>
  <si>
    <t xml:space="preserve">08740</t>
  </si>
  <si>
    <t xml:space="preserve">JOSEP PLÁ, 13 2º-4º </t>
  </si>
  <si>
    <t xml:space="preserve">ST. ANDREU DE LA BARCA</t>
  </si>
  <si>
    <t xml:space="preserve">93 653 0 7 28</t>
  </si>
  <si>
    <t xml:space="preserve">4000010254</t>
  </si>
  <si>
    <t xml:space="preserve">__import__.res_partner_20000010255</t>
  </si>
  <si>
    <t xml:space="preserve">20000010255</t>
  </si>
  <si>
    <t xml:space="preserve">VIGALDIS, S.L.</t>
  </si>
  <si>
    <t xml:space="preserve">ESB27800291</t>
  </si>
  <si>
    <t xml:space="preserve">SEVERINO COBAS, 65 - NAVE 2</t>
  </si>
  <si>
    <t xml:space="preserve">rpazosfreire@gmail.com</t>
  </si>
  <si>
    <t xml:space="preserve">986 281 609 </t>
  </si>
  <si>
    <t xml:space="preserve">4000010255</t>
  </si>
  <si>
    <t xml:space="preserve">__import__.res_partner_20000010256</t>
  </si>
  <si>
    <t xml:space="preserve">20000010256</t>
  </si>
  <si>
    <t xml:space="preserve">INVERSIONES BLANCO PARIS S.L.</t>
  </si>
  <si>
    <t xml:space="preserve">ESB84297308</t>
  </si>
  <si>
    <t xml:space="preserve">28770</t>
  </si>
  <si>
    <t xml:space="preserve">POL. IND. SUR C/DEL ACERO 24</t>
  </si>
  <si>
    <t xml:space="preserve">COLMENAR VIEJO</t>
  </si>
  <si>
    <t xml:space="preserve">ventas@uniuso.com</t>
  </si>
  <si>
    <t xml:space="preserve">918 450 977</t>
  </si>
  <si>
    <t xml:space="preserve">UNIUSO</t>
  </si>
  <si>
    <t xml:space="preserve">4000010256</t>
  </si>
  <si>
    <t xml:space="preserve">PORTES PAGADOS PARA PEDIDOS SUPERIORES A 400€
www.uniuso.com
info@doustrazos.com
dous2011
</t>
  </si>
  <si>
    <t xml:space="preserve">__import__.res_partner_20000010257</t>
  </si>
  <si>
    <t xml:space="preserve">20000010257</t>
  </si>
  <si>
    <t xml:space="preserve">DILESA PONTEAREAS S.L.</t>
  </si>
  <si>
    <t xml:space="preserve">ESB36573905</t>
  </si>
  <si>
    <t xml:space="preserve">36893</t>
  </si>
  <si>
    <t xml:space="preserve">CUMIAR, 9</t>
  </si>
  <si>
    <t xml:space="preserve">628 082 192</t>
  </si>
  <si>
    <t xml:space="preserve">4000010257</t>
  </si>
  <si>
    <t xml:space="preserve">__import__.res_partner_20000010258</t>
  </si>
  <si>
    <t xml:space="preserve">20000010258</t>
  </si>
  <si>
    <t xml:space="preserve">INFORMATICA TECNICA GRANADA, S.L.</t>
  </si>
  <si>
    <t xml:space="preserve">ESB18893644</t>
  </si>
  <si>
    <t xml:space="preserve">18007</t>
  </si>
  <si>
    <t xml:space="preserve">Espronceda, s/n</t>
  </si>
  <si>
    <t xml:space="preserve">GRANADA</t>
  </si>
  <si>
    <t xml:space="preserve">902 002 845</t>
  </si>
  <si>
    <t xml:space="preserve">3GO GARANTIA DIRECTA</t>
  </si>
  <si>
    <t xml:space="preserve">4000010258</t>
  </si>
  <si>
    <t xml:space="preserve">__import__.res_partner_20000010259</t>
  </si>
  <si>
    <t xml:space="preserve">20000010259</t>
  </si>
  <si>
    <t xml:space="preserve">ETIQUETAS DEL NORTE S.L.</t>
  </si>
  <si>
    <t xml:space="preserve">ESB36415289</t>
  </si>
  <si>
    <t xml:space="preserve">36635</t>
  </si>
  <si>
    <t xml:space="preserve">POL. IND. SETE PIAS PARC. 97-98</t>
  </si>
  <si>
    <t xml:space="preserve">CAMBADOS</t>
  </si>
  <si>
    <t xml:space="preserve">etinor@etinor.com</t>
  </si>
  <si>
    <t xml:space="preserve">986 536 023</t>
  </si>
  <si>
    <t xml:space="preserve">ETI-NOR</t>
  </si>
  <si>
    <t xml:space="preserve">4000010259</t>
  </si>
  <si>
    <t xml:space="preserve">__import__.res_partner_20000010260</t>
  </si>
  <si>
    <t xml:space="preserve">20000010260</t>
  </si>
  <si>
    <t xml:space="preserve">MICROKERNEL TECHNOLOGIES, S.L.</t>
  </si>
  <si>
    <t xml:space="preserve">ESB83481572</t>
  </si>
  <si>
    <t xml:space="preserve">38850</t>
  </si>
  <si>
    <t xml:space="preserve">OTOÑO, 9 - POL. IND. LAS MONJAS</t>
  </si>
  <si>
    <t xml:space="preserve">TORREJON DE ARDOZ</t>
  </si>
  <si>
    <t xml:space="preserve">CONCHI@MICRO-KERNEL.COM</t>
  </si>
  <si>
    <t xml:space="preserve">916 556 079</t>
  </si>
  <si>
    <t xml:space="preserve">4000010260</t>
  </si>
  <si>
    <t xml:space="preserve">__import__.res_partner_20000010261</t>
  </si>
  <si>
    <t xml:space="preserve">20000010261</t>
  </si>
  <si>
    <t xml:space="preserve">EDITORIAL VICENS VIVES S.A.</t>
  </si>
  <si>
    <t xml:space="preserve">ESA08375545</t>
  </si>
  <si>
    <t xml:space="preserve">08017</t>
  </si>
  <si>
    <t xml:space="preserve">AVDA. SARRIÁ 130</t>
  </si>
  <si>
    <t xml:space="preserve">jcc@vicensvives.es</t>
  </si>
  <si>
    <t xml:space="preserve">932523700</t>
  </si>
  <si>
    <t xml:space="preserve">4000010261</t>
  </si>
  <si>
    <t xml:space="preserve">__import__.res_partner_20000010262</t>
  </si>
  <si>
    <t xml:space="preserve">20000010262</t>
  </si>
  <si>
    <t xml:space="preserve">OUT OF THE BLUE KG</t>
  </si>
  <si>
    <t xml:space="preserve">DE813340597</t>
  </si>
  <si>
    <t xml:space="preserve">D-28865</t>
  </si>
  <si>
    <t xml:space="preserve">BEIM NEUEN DAMM 28</t>
  </si>
  <si>
    <t xml:space="preserve">LILIENTHAL</t>
  </si>
  <si>
    <t xml:space="preserve">info@ootb.de</t>
  </si>
  <si>
    <t xml:space="preserve">4000010262</t>
  </si>
  <si>
    <t xml:space="preserve">__import__.res_partner_20000010263</t>
  </si>
  <si>
    <t xml:space="preserve">20000010263</t>
  </si>
  <si>
    <t xml:space="preserve">SUPERCOMP DIGITAL, S.L.</t>
  </si>
  <si>
    <t xml:space="preserve">ESB32307738</t>
  </si>
  <si>
    <t xml:space="preserve">32901</t>
  </si>
  <si>
    <t xml:space="preserve">POL. IND. SAN CIBRAO DAS VIÑAS, RUA 1, SECTOR C1</t>
  </si>
  <si>
    <t xml:space="preserve">VENTAS@SUPERCOMPDIGITAL.COM</t>
  </si>
  <si>
    <t xml:space="preserve">988 383 828</t>
  </si>
  <si>
    <t xml:space="preserve">4000010263</t>
  </si>
  <si>
    <r>
      <rPr>
        <sz val="11"/>
        <color rgb="FF000000"/>
        <rFont val="Calibri"/>
        <family val="2"/>
        <charset val="1"/>
      </rPr>
      <t xml:space="preserve">Usuario: 301516
</t>
    </r>
    <r>
      <rPr>
        <sz val="10"/>
        <color rgb="FF000000"/>
        <rFont val="Arial"/>
        <family val="2"/>
        <charset val="1"/>
      </rPr>
      <t xml:space="preserve">clave: AYZfJX31</t>
    </r>
  </si>
  <si>
    <t xml:space="preserve">__import__.res_partner_20000010264</t>
  </si>
  <si>
    <t xml:space="preserve">20000010264</t>
  </si>
  <si>
    <t xml:space="preserve">JOYANA SOLUTIONS S.L.</t>
  </si>
  <si>
    <t xml:space="preserve">ESB94039500</t>
  </si>
  <si>
    <t xml:space="preserve">RUA COOPERATIVA Nº 2 PLANTA 3 PTA 1</t>
  </si>
  <si>
    <t xml:space="preserve">4000010264</t>
  </si>
  <si>
    <t xml:space="preserve">__import__.res_partner_20000010265</t>
  </si>
  <si>
    <t xml:space="preserve">20000010265</t>
  </si>
  <si>
    <t xml:space="preserve">ARTE REGAL IMPORT S.L.</t>
  </si>
  <si>
    <t xml:space="preserve">ESB96652474</t>
  </si>
  <si>
    <t xml:space="preserve">C/ COMTAT Nº 44 POL. IND.LA COVA</t>
  </si>
  <si>
    <t xml:space="preserve">facturacion@arteregal.es</t>
  </si>
  <si>
    <t xml:space="preserve">96 152 14 48</t>
  </si>
  <si>
    <t xml:space="preserve">ARTE REGAL</t>
  </si>
  <si>
    <t xml:space="preserve">4000010265</t>
  </si>
  <si>
    <t xml:space="preserve">__import__.res_partner_20000010266</t>
  </si>
  <si>
    <t xml:space="preserve">20000010266</t>
  </si>
  <si>
    <t xml:space="preserve">NASTRIFICIO ANGELO BOLIS SPA</t>
  </si>
  <si>
    <t xml:space="preserve">IT0022956016</t>
  </si>
  <si>
    <t xml:space="preserve">24030</t>
  </si>
  <si>
    <t xml:space="preserve">PRESEZZO</t>
  </si>
  <si>
    <t xml:space="preserve">annikasiccardi@gmail.com</t>
  </si>
  <si>
    <t xml:space="preserve">BOLIS</t>
  </si>
  <si>
    <t xml:space="preserve">4000010266</t>
  </si>
  <si>
    <t xml:space="preserve">__import__.res_partner_20000010267</t>
  </si>
  <si>
    <t xml:space="preserve">20000010267</t>
  </si>
  <si>
    <t xml:space="preserve">XABRIÑA 2016, S.L.</t>
  </si>
  <si>
    <t xml:space="preserve">ESB94139581</t>
  </si>
  <si>
    <t xml:space="preserve">36865</t>
  </si>
  <si>
    <t xml:space="preserve">CORRELO, 46 - CRTA. N-120 - ARCOS</t>
  </si>
  <si>
    <t xml:space="preserve">xabrinha2016@gmail.com</t>
  </si>
  <si>
    <t xml:space="preserve">629 365 759 </t>
  </si>
  <si>
    <t xml:space="preserve">4000010267</t>
  </si>
  <si>
    <t xml:space="preserve">__import__.res_partner_20000010268</t>
  </si>
  <si>
    <t xml:space="preserve">20000010268</t>
  </si>
  <si>
    <t xml:space="preserve">OPENPRINT SOLUTIONS, S.L.</t>
  </si>
  <si>
    <t xml:space="preserve">ESB02432557</t>
  </si>
  <si>
    <t xml:space="preserve">02520</t>
  </si>
  <si>
    <t xml:space="preserve">POL. IND. CAMPORROSO</t>
  </si>
  <si>
    <t xml:space="preserve">C/ CUENCA, 5</t>
  </si>
  <si>
    <t xml:space="preserve">CHINCHILLA</t>
  </si>
  <si>
    <t xml:space="preserve">OPENPRINT@OPENPRINT.ES</t>
  </si>
  <si>
    <t xml:space="preserve">967 261 741</t>
  </si>
  <si>
    <t xml:space="preserve">4000010268</t>
  </si>
  <si>
    <t xml:space="preserve">__import__.res_partner_20000010270</t>
  </si>
  <si>
    <t xml:space="preserve">20000010270</t>
  </si>
  <si>
    <t xml:space="preserve">FIRMO-PAPÉIS E PAPELARIAS S.A.</t>
  </si>
  <si>
    <t xml:space="preserve">PT500026882</t>
  </si>
  <si>
    <t xml:space="preserve">4250-380</t>
  </si>
  <si>
    <t xml:space="preserve">TRAVESA DA PRELADA</t>
  </si>
  <si>
    <t xml:space="preserve">OPORTO</t>
  </si>
  <si>
    <t xml:space="preserve">Export.assistant@firmo.pt</t>
  </si>
  <si>
    <t xml:space="preserve">351228340900</t>
  </si>
  <si>
    <t xml:space="preserve">FIRMO</t>
  </si>
  <si>
    <t xml:space="preserve">4000010270</t>
  </si>
  <si>
    <t xml:space="preserve">__import__.res_partner_20000010271</t>
  </si>
  <si>
    <t xml:space="preserve">20000010271</t>
  </si>
  <si>
    <t xml:space="preserve">PUCKATOR S.L.</t>
  </si>
  <si>
    <t xml:space="preserve">ESB98218779</t>
  </si>
  <si>
    <t xml:space="preserve">46010</t>
  </si>
  <si>
    <t xml:space="preserve">AVDA BLASCO IBAÑEZ Nº 20</t>
  </si>
  <si>
    <t xml:space="preserve">eduardo@puckator.es</t>
  </si>
  <si>
    <t xml:space="preserve">96 369 12 20</t>
  </si>
  <si>
    <t xml:space="preserve">PUCKATOR </t>
  </si>
  <si>
    <t xml:space="preserve">4000010271</t>
  </si>
  <si>
    <t xml:space="preserve">__import__.res_partner_20000010272</t>
  </si>
  <si>
    <t xml:space="preserve">20000010272</t>
  </si>
  <si>
    <t xml:space="preserve">INGRAM MICRO, S.L.U.</t>
  </si>
  <si>
    <t xml:space="preserve">ESB78076395</t>
  </si>
  <si>
    <t xml:space="preserve">08840</t>
  </si>
  <si>
    <t xml:space="preserve">ANTONIO MACHADO, 78-80</t>
  </si>
  <si>
    <t xml:space="preserve">COMP. VILADECANS BUSINESS PARK</t>
  </si>
  <si>
    <t xml:space="preserve">VILADECANS</t>
  </si>
  <si>
    <t xml:space="preserve">4000010272</t>
  </si>
  <si>
    <t xml:space="preserve">__import__.res_partner_20000010273</t>
  </si>
  <si>
    <t xml:space="preserve">20000010273</t>
  </si>
  <si>
    <t xml:space="preserve">MANUFATURAS MEDRANO S.A.</t>
  </si>
  <si>
    <t xml:space="preserve">ESA50165232</t>
  </si>
  <si>
    <t xml:space="preserve">50420</t>
  </si>
  <si>
    <t xml:space="preserve">CRA VALENCIA KM. 10 POL. AGRINASA N.3</t>
  </si>
  <si>
    <t xml:space="preserve">CADRETE</t>
  </si>
  <si>
    <t xml:space="preserve">comercial@manufacturasmedrano.com</t>
  </si>
  <si>
    <t xml:space="preserve">976 12 62 11</t>
  </si>
  <si>
    <t xml:space="preserve">MEDRANO</t>
  </si>
  <si>
    <t xml:space="preserve">4000010273</t>
  </si>
  <si>
    <t xml:space="preserve">__import__.res_partner_20000010274</t>
  </si>
  <si>
    <t xml:space="preserve">20000010274</t>
  </si>
  <si>
    <t xml:space="preserve">PRINT DIGITAL IMPRESIONES S.L.</t>
  </si>
  <si>
    <t xml:space="preserve">ESB65372724</t>
  </si>
  <si>
    <t xml:space="preserve">08272</t>
  </si>
  <si>
    <t xml:space="preserve">PIC NEGRE 11-13</t>
  </si>
  <si>
    <t xml:space="preserve">SANT FRUITOS DE BAGES</t>
  </si>
  <si>
    <t xml:space="preserve">info@happymots.com</t>
  </si>
  <si>
    <t xml:space="preserve">616472481</t>
  </si>
  <si>
    <t xml:space="preserve">HAPPY MOTS</t>
  </si>
  <si>
    <t xml:space="preserve">4000010274</t>
  </si>
  <si>
    <t xml:space="preserve">__import__.res_partner_20000010275</t>
  </si>
  <si>
    <t xml:space="preserve">20000010275</t>
  </si>
  <si>
    <t xml:space="preserve">BCNVIT SOM2 S.L.</t>
  </si>
  <si>
    <t xml:space="preserve">ESB65706996</t>
  </si>
  <si>
    <t xml:space="preserve">PLAZA AUSIAS MARCH,1 2N 4N</t>
  </si>
  <si>
    <t xml:space="preserve">SANT CUGAT DEL VALLES </t>
  </si>
  <si>
    <t xml:space="preserve">BOMBATA</t>
  </si>
  <si>
    <t xml:space="preserve">4000010275</t>
  </si>
  <si>
    <t xml:space="preserve">__import__.res_partner_20000010276</t>
  </si>
  <si>
    <t xml:space="preserve">20000010276</t>
  </si>
  <si>
    <t xml:space="preserve">VIRAL BRANDS LTD !! THE NOVELTY GIFT COMPANY</t>
  </si>
  <si>
    <t xml:space="preserve">GB766408506</t>
  </si>
  <si>
    <t xml:space="preserve">UB6 7JD</t>
  </si>
  <si>
    <t xml:space="preserve">5 WADSWORTH ROAD</t>
  </si>
  <si>
    <t xml:space="preserve">PERIVALE</t>
  </si>
  <si>
    <t xml:space="preserve">GB</t>
  </si>
  <si>
    <t xml:space="preserve">srodriguez@aladesk.com</t>
  </si>
  <si>
    <t xml:space="preserve">+440208810900</t>
  </si>
  <si>
    <t xml:space="preserve">SABICHI HOUSE-MUSTARD </t>
  </si>
  <si>
    <t xml:space="preserve">4000010276</t>
  </si>
  <si>
    <t xml:space="preserve">__import__.res_partner_20000010277</t>
  </si>
  <si>
    <t xml:space="preserve">20000010277</t>
  </si>
  <si>
    <t xml:space="preserve">NAVA DESIGN S.R.L.</t>
  </si>
  <si>
    <t xml:space="preserve">IT0930167096</t>
  </si>
  <si>
    <t xml:space="preserve">20139</t>
  </si>
  <si>
    <t xml:space="preserve">VIA MARCO D'AGRATE 43</t>
  </si>
  <si>
    <t xml:space="preserve">VIALE ORTIES 52/54</t>
  </si>
  <si>
    <t xml:space="preserve">MILAN</t>
  </si>
  <si>
    <t xml:space="preserve">nava.design@legalmail.it</t>
  </si>
  <si>
    <t xml:space="preserve">39 02 2570251</t>
  </si>
  <si>
    <t xml:space="preserve">TRANSFERENCIA 60 DIAS</t>
  </si>
  <si>
    <t xml:space="preserve">BANCA DI APPOGGIOBANK</t>
  </si>
  <si>
    <t xml:space="preserve">IT75R0200801781000104198217</t>
  </si>
  <si>
    <t xml:space="preserve">NAVA</t>
  </si>
  <si>
    <t xml:space="preserve">4000010277</t>
  </si>
  <si>
    <t xml:space="preserve">__import__.res_partner_20000010278</t>
  </si>
  <si>
    <t xml:space="preserve">20000010278</t>
  </si>
  <si>
    <t xml:space="preserve">SCRIPTUM NETWORK S.L.</t>
  </si>
  <si>
    <t xml:space="preserve">ESB66786047</t>
  </si>
  <si>
    <t xml:space="preserve">08330</t>
  </si>
  <si>
    <t xml:space="preserve">C/UNION 70, ÁTICO 5</t>
  </si>
  <si>
    <t xml:space="preserve">PREMIA DE MAR</t>
  </si>
  <si>
    <t xml:space="preserve">info@scriptumm.com</t>
  </si>
  <si>
    <t xml:space="preserve">662 13 15 17</t>
  </si>
  <si>
    <t xml:space="preserve">SCRIPTUM</t>
  </si>
  <si>
    <t xml:space="preserve">4000010278</t>
  </si>
  <si>
    <t xml:space="preserve">__import__.res_partner_20000010279</t>
  </si>
  <si>
    <t xml:space="preserve">20000010279</t>
  </si>
  <si>
    <t xml:space="preserve">MOLIN-ESTILOGRAFICA, S.L.</t>
  </si>
  <si>
    <t xml:space="preserve">ESB63646970</t>
  </si>
  <si>
    <t xml:space="preserve">0894</t>
  </si>
  <si>
    <t xml:space="preserve">PS FERROCARRILES CATALANES Nº 217</t>
  </si>
  <si>
    <t xml:space="preserve">93 260 30 90</t>
  </si>
  <si>
    <t xml:space="preserve">MOLIN</t>
  </si>
  <si>
    <t xml:space="preserve">4000010279</t>
  </si>
  <si>
    <t xml:space="preserve">2025 marcador a 0.17€ comprando 550 regala 50 neto a 0.1558€</t>
  </si>
  <si>
    <t xml:space="preserve">__import__.res_partner_20000010280</t>
  </si>
  <si>
    <t xml:space="preserve">20000010280</t>
  </si>
  <si>
    <t xml:space="preserve">MANUFACTURAS CARPLAS, S.L.</t>
  </si>
  <si>
    <t xml:space="preserve">ESB32389314</t>
  </si>
  <si>
    <t xml:space="preserve">POL. IND. A GRANXA RUA B5 INT.</t>
  </si>
  <si>
    <t xml:space="preserve">info@carplas.com</t>
  </si>
  <si>
    <t xml:space="preserve">986343412/13</t>
  </si>
  <si>
    <t xml:space="preserve">4000010280</t>
  </si>
  <si>
    <t xml:space="preserve">14/07/23: El precinto acrílico es el más económico y va perfectamente si se usa simplemente para cerrar cajas. La siguiente calidad sería el pp solvente</t>
  </si>
  <si>
    <t xml:space="preserve">__import__.res_partner_20000010281</t>
  </si>
  <si>
    <t xml:space="preserve">20000010281</t>
  </si>
  <si>
    <t xml:space="preserve">GUISANFER, S.L.</t>
  </si>
  <si>
    <t xml:space="preserve">ESB36706737</t>
  </si>
  <si>
    <t xml:space="preserve">RÚA DA ESPERANZA Nº7</t>
  </si>
  <si>
    <t xml:space="preserve">986 64 01 92</t>
  </si>
  <si>
    <t xml:space="preserve">FERRETERIA EL PUENTE</t>
  </si>
  <si>
    <t xml:space="preserve">4000010281</t>
  </si>
  <si>
    <t xml:space="preserve">__import__.res_partner_20000010282</t>
  </si>
  <si>
    <t xml:space="preserve">20000010282</t>
  </si>
  <si>
    <t xml:space="preserve">ROBERTO CARLOS GONZÁLEZ RODRÍGUEZ</t>
  </si>
  <si>
    <t xml:space="preserve">ES34874593S</t>
  </si>
  <si>
    <t xml:space="preserve">36450</t>
  </si>
  <si>
    <t xml:space="preserve">CL. RAÍÑA DOÑA URRACA 9, 4ºC</t>
  </si>
  <si>
    <t xml:space="preserve">BANCO PASTOR</t>
  </si>
  <si>
    <t xml:space="preserve">PSTRESMMXXX</t>
  </si>
  <si>
    <t xml:space="preserve">4000010282</t>
  </si>
  <si>
    <t xml:space="preserve">__import__.res_partner_20000010283</t>
  </si>
  <si>
    <t xml:space="preserve">20000010283</t>
  </si>
  <si>
    <t xml:space="preserve">HIERROS TORRES Y SAEZ, S.A</t>
  </si>
  <si>
    <t xml:space="preserve">ESA15023823</t>
  </si>
  <si>
    <t xml:space="preserve">POL. POCOMACO PARCELA A-1</t>
  </si>
  <si>
    <t xml:space="preserve">TORRES &amp; SAEZ</t>
  </si>
  <si>
    <t xml:space="preserve">4000010283</t>
  </si>
  <si>
    <t xml:space="preserve">__import__.res_partner_20000010284</t>
  </si>
  <si>
    <t xml:space="preserve">20000010284</t>
  </si>
  <si>
    <t xml:space="preserve">BEROVAZ CONSULTORES, S.L.</t>
  </si>
  <si>
    <t xml:space="preserve">ESB27778406</t>
  </si>
  <si>
    <t xml:space="preserve">CL. PÍO XII 6 - BAJO</t>
  </si>
  <si>
    <t xml:space="preserve">laferreteria@berovaz.es</t>
  </si>
  <si>
    <t xml:space="preserve">886.127.335</t>
  </si>
  <si>
    <t xml:space="preserve">4000010284</t>
  </si>
  <si>
    <t xml:space="preserve">__import__.res_partner_20000010285</t>
  </si>
  <si>
    <t xml:space="preserve">20000010285</t>
  </si>
  <si>
    <t xml:space="preserve">SIAL, S.A</t>
  </si>
  <si>
    <t xml:space="preserve">ESA36004158</t>
  </si>
  <si>
    <t xml:space="preserve">36418</t>
  </si>
  <si>
    <t xml:space="preserve">CRTA. SALCEDA S/N</t>
  </si>
  <si>
    <t xml:space="preserve">ATIOS - PORRIÑO</t>
  </si>
  <si>
    <t xml:space="preserve">986 34 25 99</t>
  </si>
  <si>
    <t xml:space="preserve">ESTACIÓN DE SERVICIO A GRANXA</t>
  </si>
  <si>
    <t xml:space="preserve">4000010285</t>
  </si>
  <si>
    <t xml:space="preserve">__import__.res_partner_20000010286</t>
  </si>
  <si>
    <t xml:space="preserve">20000010286</t>
  </si>
  <si>
    <t xml:space="preserve">FERRETERÍA POMBO, S.A</t>
  </si>
  <si>
    <t xml:space="preserve">ESA36644011</t>
  </si>
  <si>
    <t xml:space="preserve">36475</t>
  </si>
  <si>
    <t xml:space="preserve">P.I. A GRANXA PARC 260 NAVE 2B</t>
  </si>
  <si>
    <t xml:space="preserve">LOCAL 5</t>
  </si>
  <si>
    <t xml:space="preserve">gestion@fpombo.es</t>
  </si>
  <si>
    <t xml:space="preserve">986342745</t>
  </si>
  <si>
    <t xml:space="preserve">4000010286</t>
  </si>
  <si>
    <t xml:space="preserve">__import__.res_partner_20000010287</t>
  </si>
  <si>
    <t xml:space="preserve">20000010287</t>
  </si>
  <si>
    <t xml:space="preserve">SISTEMAS DE SEGURIDAD JL, S.L.</t>
  </si>
  <si>
    <t xml:space="preserve">ESB36650687</t>
  </si>
  <si>
    <t xml:space="preserve">CL. ARAGÓN Nº70</t>
  </si>
  <si>
    <t xml:space="preserve">administracion@seguridadjl.com</t>
  </si>
  <si>
    <t xml:space="preserve">986 266 361</t>
  </si>
  <si>
    <t xml:space="preserve">4000010287</t>
  </si>
  <si>
    <t xml:space="preserve">__import__.res_partner_20000010288</t>
  </si>
  <si>
    <t xml:space="preserve">20000010288</t>
  </si>
  <si>
    <t xml:space="preserve">GRENKE ALQUILER, S.L.</t>
  </si>
  <si>
    <t xml:space="preserve">ESB62652805</t>
  </si>
  <si>
    <t xml:space="preserve">PASSEIG DE GRÁCIA, 28, 1º, 2ª</t>
  </si>
  <si>
    <t xml:space="preserve">servicio.barcelona@grenke.es</t>
  </si>
  <si>
    <t xml:space="preserve">934 81 76 10</t>
  </si>
  <si>
    <t xml:space="preserve">4000010288</t>
  </si>
  <si>
    <t xml:space="preserve">__import__.res_partner_20000010289</t>
  </si>
  <si>
    <t xml:space="preserve">20000010289</t>
  </si>
  <si>
    <t xml:space="preserve">GRENKE RENT, S.L.</t>
  </si>
  <si>
    <t xml:space="preserve">ESB85127629</t>
  </si>
  <si>
    <t xml:space="preserve">CL. PLAYA DE LAS AMERICAS 2 BAJO -2</t>
  </si>
  <si>
    <t xml:space="preserve">EDIF. CODESA</t>
  </si>
  <si>
    <t xml:space="preserve">servicio.madrid@grenke.es</t>
  </si>
  <si>
    <t xml:space="preserve">916 30 56 72</t>
  </si>
  <si>
    <t xml:space="preserve">4000010289</t>
  </si>
  <si>
    <t xml:space="preserve">__import__.res_partner_20000010290</t>
  </si>
  <si>
    <t xml:space="preserve">20000010290</t>
  </si>
  <si>
    <t xml:space="preserve">GALEGA ANTELANA DE PAPELERÍA</t>
  </si>
  <si>
    <t xml:space="preserve">ESB32354540</t>
  </si>
  <si>
    <t xml:space="preserve">32630</t>
  </si>
  <si>
    <t xml:space="preserve">CL. LADEIRA</t>
  </si>
  <si>
    <t xml:space="preserve">XINZO DE LIMIA</t>
  </si>
  <si>
    <t xml:space="preserve">988 46 16 33</t>
  </si>
  <si>
    <t xml:space="preserve">CARLIN XINZO</t>
  </si>
  <si>
    <t xml:space="preserve">4000010290</t>
  </si>
  <si>
    <t xml:space="preserve">__import__.res_partner_20000010291</t>
  </si>
  <si>
    <t xml:space="preserve">20000010291</t>
  </si>
  <si>
    <t xml:space="preserve">SDSR-SPORT DIVISION SR, S.A</t>
  </si>
  <si>
    <t xml:space="preserve">PT503646776</t>
  </si>
  <si>
    <t xml:space="preserve">4950-850</t>
  </si>
  <si>
    <t xml:space="preserve">MONTE DA MINA LODEIRA - MEZEDO</t>
  </si>
  <si>
    <t xml:space="preserve">MONÇAO</t>
  </si>
  <si>
    <t xml:space="preserve">SPORT ZONE</t>
  </si>
  <si>
    <t xml:space="preserve">4000010291</t>
  </si>
  <si>
    <t xml:space="preserve">__import__.res_partner_20000010292</t>
  </si>
  <si>
    <t xml:space="preserve">20000010292</t>
  </si>
  <si>
    <t xml:space="preserve">ENDOCE LOGÍSTICA, S.L.</t>
  </si>
  <si>
    <t xml:space="preserve">ESB27829704</t>
  </si>
  <si>
    <t xml:space="preserve">MESTRE ALFREDO GONZALEZ FERNANDEZ</t>
  </si>
  <si>
    <t xml:space="preserve">ENVIALIA</t>
  </si>
  <si>
    <t xml:space="preserve">4000010292</t>
  </si>
  <si>
    <t xml:space="preserve">__import__.res_partner_20000010293</t>
  </si>
  <si>
    <t xml:space="preserve">20000010293</t>
  </si>
  <si>
    <t xml:space="preserve">CREACIONES PANDORA S.L.</t>
  </si>
  <si>
    <t xml:space="preserve">ESB54520960</t>
  </si>
  <si>
    <t xml:space="preserve">3600</t>
  </si>
  <si>
    <t xml:space="preserve">C/ FRAY LUIS DE GRANADA, 51</t>
  </si>
  <si>
    <t xml:space="preserve">ELDA</t>
  </si>
  <si>
    <t xml:space="preserve">info@azzarcomplementos.com</t>
  </si>
  <si>
    <t xml:space="preserve">966299139</t>
  </si>
  <si>
    <t xml:space="preserve">AZZAR</t>
  </si>
  <si>
    <t xml:space="preserve">4000010293</t>
  </si>
  <si>
    <t xml:space="preserve">__import__.res_partner_20000010294</t>
  </si>
  <si>
    <t xml:space="preserve">20000010294</t>
  </si>
  <si>
    <t xml:space="preserve">JAVUCHO PUBLICIDADE, S.L.</t>
  </si>
  <si>
    <t xml:space="preserve">ESB94065794</t>
  </si>
  <si>
    <t xml:space="preserve">BOUZAPANDA Nº3 - BUDIÑO</t>
  </si>
  <si>
    <t xml:space="preserve">javuchopublicidade@gmail.com</t>
  </si>
  <si>
    <t xml:space="preserve">986 34 64 85</t>
  </si>
  <si>
    <t xml:space="preserve">4000010294</t>
  </si>
  <si>
    <t xml:space="preserve">__import__.res_partner_20000010295</t>
  </si>
  <si>
    <t xml:space="preserve">20000010295</t>
  </si>
  <si>
    <t xml:space="preserve">SIMIS MOBILIARIO, S.L.</t>
  </si>
  <si>
    <t xml:space="preserve">ESB70292628</t>
  </si>
  <si>
    <t xml:space="preserve">POL. IND. DE BERGONDO, PARCELA B32 - ROIS</t>
  </si>
  <si>
    <t xml:space="preserve">ofiprecios@ofiprecios.com</t>
  </si>
  <si>
    <t xml:space="preserve">981 783 443</t>
  </si>
  <si>
    <t xml:space="preserve">OFIPRECIOS</t>
  </si>
  <si>
    <t xml:space="preserve">4000010295</t>
  </si>
  <si>
    <t xml:space="preserve">__import__.res_partner_20000010296</t>
  </si>
  <si>
    <t xml:space="preserve">20000010296</t>
  </si>
  <si>
    <t xml:space="preserve">COOLPACK SPAIN S.L.</t>
  </si>
  <si>
    <t xml:space="preserve">ESB99479990</t>
  </si>
  <si>
    <t xml:space="preserve">50720</t>
  </si>
  <si>
    <t xml:space="preserve">AJEDREA 3 NAVE 1</t>
  </si>
  <si>
    <t xml:space="preserve">robertorodriguez@coolpack.es</t>
  </si>
  <si>
    <t xml:space="preserve">876 531 030</t>
  </si>
  <si>
    <t xml:space="preserve">30, 60 DIAS</t>
  </si>
  <si>
    <t xml:space="preserve">COOLPACK</t>
  </si>
  <si>
    <t xml:space="preserve">4000010296</t>
  </si>
  <si>
    <t xml:space="preserve">__import__.res_partner_20000010297</t>
  </si>
  <si>
    <t xml:space="preserve">20000010297</t>
  </si>
  <si>
    <t xml:space="preserve">RAFAEL MARTINEZ PLA</t>
  </si>
  <si>
    <t xml:space="preserve">ES45899258L</t>
  </si>
  <si>
    <t xml:space="preserve">08206</t>
  </si>
  <si>
    <t xml:space="preserve">LUSITÁNIA, 110 </t>
  </si>
  <si>
    <t xml:space="preserve">SABADELL</t>
  </si>
  <si>
    <t xml:space="preserve">info@sarafel.com</t>
  </si>
  <si>
    <t xml:space="preserve">931915421</t>
  </si>
  <si>
    <t xml:space="preserve">SARAFEL</t>
  </si>
  <si>
    <t xml:space="preserve">4000010297</t>
  </si>
  <si>
    <t xml:space="preserve">__import__.res_partner_20000010298</t>
  </si>
  <si>
    <t xml:space="preserve">20000010298</t>
  </si>
  <si>
    <t xml:space="preserve">TALLERES CASELAS, S.L.</t>
  </si>
  <si>
    <t xml:space="preserve">ESB36201374</t>
  </si>
  <si>
    <t xml:space="preserve">36472</t>
  </si>
  <si>
    <t xml:space="preserve">LG. FONTÁN - PARDERRUBIAS</t>
  </si>
  <si>
    <t xml:space="preserve">tallerescaselas@hotmail.com</t>
  </si>
  <si>
    <t xml:space="preserve">986 347 777</t>
  </si>
  <si>
    <t xml:space="preserve">ES3900497869712110001289</t>
  </si>
  <si>
    <t xml:space="preserve">4000010298</t>
  </si>
  <si>
    <t xml:space="preserve">__import__.res_partner_20000010299</t>
  </si>
  <si>
    <t xml:space="preserve">20000010299</t>
  </si>
  <si>
    <t xml:space="preserve">CLARA I. GARCIA CAYETANO</t>
  </si>
  <si>
    <t xml:space="preserve">ES36097842D</t>
  </si>
  <si>
    <t xml:space="preserve">36202</t>
  </si>
  <si>
    <t xml:space="preserve">CL. REAL 16 - BAJO</t>
  </si>
  <si>
    <t xml:space="preserve">IBERISAC EMBALAJES</t>
  </si>
  <si>
    <t xml:space="preserve">4000010299</t>
  </si>
  <si>
    <t xml:space="preserve">__import__.res_partner_20000010300</t>
  </si>
  <si>
    <t xml:space="preserve">20000010300</t>
  </si>
  <si>
    <t xml:space="preserve">INDUPOR VESTUARIO LABORAL Y EPIS, S.L.L</t>
  </si>
  <si>
    <t xml:space="preserve">ESB27761899</t>
  </si>
  <si>
    <t xml:space="preserve">CL. DOMINGO BUENO Nº41</t>
  </si>
  <si>
    <t xml:space="preserve">986 12 95 52</t>
  </si>
  <si>
    <t xml:space="preserve">4000010300</t>
  </si>
  <si>
    <t xml:space="preserve">__import__.res_partner_20000010301</t>
  </si>
  <si>
    <t xml:space="preserve">20000010301</t>
  </si>
  <si>
    <t xml:space="preserve">ELECTRONICA Y SISTEMAS DE ANDALUCIA, S.L.</t>
  </si>
  <si>
    <t xml:space="preserve">ESB29115045</t>
  </si>
  <si>
    <t xml:space="preserve">ALEJANDRO CASONA, 60</t>
  </si>
  <si>
    <t xml:space="preserve">elsi@elsi.es</t>
  </si>
  <si>
    <t xml:space="preserve">952 244 477</t>
  </si>
  <si>
    <t xml:space="preserve">ELSI</t>
  </si>
  <si>
    <t xml:space="preserve">4000010301</t>
  </si>
  <si>
    <t xml:space="preserve">__import__.res_partner_20000010302</t>
  </si>
  <si>
    <t xml:space="preserve">20000010302</t>
  </si>
  <si>
    <t xml:space="preserve">SONYTEL VIGO, S.A</t>
  </si>
  <si>
    <t xml:space="preserve">ESA15016009</t>
  </si>
  <si>
    <t xml:space="preserve">GRAN VÍA 52</t>
  </si>
  <si>
    <t xml:space="preserve">986 41 08 24</t>
  </si>
  <si>
    <t xml:space="preserve">SONYTEL</t>
  </si>
  <si>
    <t xml:space="preserve">4000010302</t>
  </si>
  <si>
    <t xml:space="preserve">__import__.res_partner_20000010303</t>
  </si>
  <si>
    <t xml:space="preserve">20000010303</t>
  </si>
  <si>
    <t xml:space="preserve">ESTACION DE SERVICIO DE TUY, S.L.</t>
  </si>
  <si>
    <t xml:space="preserve">ESB36002848</t>
  </si>
  <si>
    <t xml:space="preserve">36720</t>
  </si>
  <si>
    <t xml:space="preserve">CRTA. NACIONAL 550 KM 167,2</t>
  </si>
  <si>
    <t xml:space="preserve">986 60 00 17</t>
  </si>
  <si>
    <t xml:space="preserve">SERTUY</t>
  </si>
  <si>
    <t xml:space="preserve">4000010303</t>
  </si>
  <si>
    <t xml:space="preserve">__import__.res_partner_20000010304</t>
  </si>
  <si>
    <t xml:space="preserve">20000010304</t>
  </si>
  <si>
    <t xml:space="preserve">AUTOPISTA DEL ATLANTICO CESA</t>
  </si>
  <si>
    <t xml:space="preserve">ESA15020522</t>
  </si>
  <si>
    <t xml:space="preserve">15004</t>
  </si>
  <si>
    <t xml:space="preserve">ALFREDO VICENTI, 15</t>
  </si>
  <si>
    <t xml:space="preserve">AUDASA</t>
  </si>
  <si>
    <t xml:space="preserve">4000010304</t>
  </si>
  <si>
    <t xml:space="preserve">__import__.res_partner_20000010305</t>
  </si>
  <si>
    <t xml:space="preserve">20000010305</t>
  </si>
  <si>
    <t xml:space="preserve">CLARO Y NETO, S.L.</t>
  </si>
  <si>
    <t xml:space="preserve">ESB70279823</t>
  </si>
  <si>
    <t xml:space="preserve">15217</t>
  </si>
  <si>
    <t xml:space="preserve">MIRAFLORES, 5</t>
  </si>
  <si>
    <t xml:space="preserve">NOIA</t>
  </si>
  <si>
    <t xml:space="preserve">696 983 644</t>
  </si>
  <si>
    <t xml:space="preserve">4000010305</t>
  </si>
  <si>
    <t xml:space="preserve">__import__.res_partner_20000010306</t>
  </si>
  <si>
    <t xml:space="preserve">20000010306</t>
  </si>
  <si>
    <t xml:space="preserve">EXTINTORES VISE, S.L.</t>
  </si>
  <si>
    <t xml:space="preserve">ESB36918415</t>
  </si>
  <si>
    <t xml:space="preserve">RAMON NIETO 57</t>
  </si>
  <si>
    <t xml:space="preserve">4000010306</t>
  </si>
  <si>
    <t xml:space="preserve">__import__.res_partner_20000010307</t>
  </si>
  <si>
    <t xml:space="preserve">20000010307</t>
  </si>
  <si>
    <t xml:space="preserve">H.Q. COP, S.L</t>
  </si>
  <si>
    <t xml:space="preserve">ESB36775690</t>
  </si>
  <si>
    <t xml:space="preserve">ESCULTOR GREGORIO FERNANDEZ, 5</t>
  </si>
  <si>
    <t xml:space="preserve">986 471 333</t>
  </si>
  <si>
    <t xml:space="preserve">4000010307</t>
  </si>
  <si>
    <t xml:space="preserve">__import__.res_partner_20000010308</t>
  </si>
  <si>
    <t xml:space="preserve">20000010308</t>
  </si>
  <si>
    <t xml:space="preserve">LOURDES PRESA FERNANDEZ</t>
  </si>
  <si>
    <t xml:space="preserve">ES34869217K</t>
  </si>
  <si>
    <t xml:space="preserve">ALXEN</t>
  </si>
  <si>
    <t xml:space="preserve">986 65 83 19</t>
  </si>
  <si>
    <t xml:space="preserve">CASA BENITO</t>
  </si>
  <si>
    <t xml:space="preserve">4000010308</t>
  </si>
  <si>
    <t xml:space="preserve">__import__.res_partner_20000010309</t>
  </si>
  <si>
    <t xml:space="preserve">20000010309</t>
  </si>
  <si>
    <t xml:space="preserve">GALICIA DE PINTURAS, S.L.</t>
  </si>
  <si>
    <t xml:space="preserve">ESB36015949</t>
  </si>
  <si>
    <t xml:space="preserve">GENEROSO DOMINGUEZ, 18</t>
  </si>
  <si>
    <t xml:space="preserve">TAMEIGA</t>
  </si>
  <si>
    <t xml:space="preserve">pinturas@galpi.com</t>
  </si>
  <si>
    <t xml:space="preserve">986 48 20 17</t>
  </si>
  <si>
    <t xml:space="preserve">GALPI</t>
  </si>
  <si>
    <t xml:space="preserve">4000010309</t>
  </si>
  <si>
    <t xml:space="preserve">__import__.res_partner_20000010310</t>
  </si>
  <si>
    <t xml:space="preserve">20000010310</t>
  </si>
  <si>
    <t xml:space="preserve">JOSE MANUEL RODRIGUEZ PAREDES</t>
  </si>
  <si>
    <t xml:space="preserve">ES52430045G</t>
  </si>
  <si>
    <t xml:space="preserve">15100</t>
  </si>
  <si>
    <t xml:space="preserve">AÑON VERDILLO 6-A</t>
  </si>
  <si>
    <t xml:space="preserve">CARBALLO</t>
  </si>
  <si>
    <t xml:space="preserve">676106127</t>
  </si>
  <si>
    <t xml:space="preserve">4000010310</t>
  </si>
  <si>
    <t xml:space="preserve">__import__.res_partner_20000010311</t>
  </si>
  <si>
    <t xml:space="preserve">20000010311</t>
  </si>
  <si>
    <t xml:space="preserve">TOLDOS EUROPA, S.L.</t>
  </si>
  <si>
    <t xml:space="preserve">ESB36658987</t>
  </si>
  <si>
    <t xml:space="preserve">CRTA. PORRIÑO - GONDOMAR 11</t>
  </si>
  <si>
    <t xml:space="preserve">986332670</t>
  </si>
  <si>
    <t xml:space="preserve">4000010311</t>
  </si>
  <si>
    <t xml:space="preserve">__import__.res_partner_20000010312</t>
  </si>
  <si>
    <t xml:space="preserve">20000010312</t>
  </si>
  <si>
    <t xml:space="preserve">REPSOL COMERCIAL DE PRODUCTOS PETROLIFEROS,SA</t>
  </si>
  <si>
    <t xml:space="preserve">ESA80298839</t>
  </si>
  <si>
    <t xml:space="preserve">MENDEZ ALVARO 44</t>
  </si>
  <si>
    <t xml:space="preserve">4000010312</t>
  </si>
  <si>
    <t xml:space="preserve">__import__.res_partner_20000010313</t>
  </si>
  <si>
    <t xml:space="preserve">20000010313</t>
  </si>
  <si>
    <t xml:space="preserve">BLAVICE SERVICES, S.L.</t>
  </si>
  <si>
    <t xml:space="preserve">ESB70439005</t>
  </si>
  <si>
    <t xml:space="preserve">15621</t>
  </si>
  <si>
    <t xml:space="preserve">RUA MARIÑASOL T8 S/N</t>
  </si>
  <si>
    <t xml:space="preserve">CABAÑAS</t>
  </si>
  <si>
    <t xml:space="preserve">4000010313</t>
  </si>
  <si>
    <t xml:space="preserve">__import__.res_partner_20000010314</t>
  </si>
  <si>
    <t xml:space="preserve">20000010314</t>
  </si>
  <si>
    <t xml:space="preserve">SAURINA, S.A</t>
  </si>
  <si>
    <t xml:space="preserve">ESA17031105</t>
  </si>
  <si>
    <t xml:space="preserve">AVDA. PAÏSOS CATALANS 12</t>
  </si>
  <si>
    <t xml:space="preserve">4000010314</t>
  </si>
  <si>
    <t xml:space="preserve">__import__.res_partner_20000010316</t>
  </si>
  <si>
    <t xml:space="preserve">20000010316</t>
  </si>
  <si>
    <t xml:space="preserve">MAROBE CONDADO, S.L.</t>
  </si>
  <si>
    <t xml:space="preserve">ESB94097813</t>
  </si>
  <si>
    <t xml:space="preserve">RUA MIÑO, 9</t>
  </si>
  <si>
    <t xml:space="preserve">886216447</t>
  </si>
  <si>
    <t xml:space="preserve">4000010316</t>
  </si>
  <si>
    <t xml:space="preserve">__import__.res_partner_20000010317</t>
  </si>
  <si>
    <t xml:space="preserve">20000010317</t>
  </si>
  <si>
    <t xml:space="preserve">IVAN MOURE MILLARA</t>
  </si>
  <si>
    <t xml:space="preserve">ES34266500L</t>
  </si>
  <si>
    <t xml:space="preserve">CAMIÑO MARTIZAS 12</t>
  </si>
  <si>
    <t xml:space="preserve">TAMEIGA - MOS</t>
  </si>
  <si>
    <t xml:space="preserve">4000010317</t>
  </si>
  <si>
    <t xml:space="preserve">__import__.res_partner_20000010318</t>
  </si>
  <si>
    <t xml:space="preserve">20000010318</t>
  </si>
  <si>
    <t xml:space="preserve">ENXEÑERÍA E CONTROL EXINOR, S.L</t>
  </si>
  <si>
    <t xml:space="preserve">ESB36719433</t>
  </si>
  <si>
    <t xml:space="preserve">CL. PRINCIPE 22, 2º OF. 38</t>
  </si>
  <si>
    <t xml:space="preserve">986229453</t>
  </si>
  <si>
    <t xml:space="preserve">4000010318</t>
  </si>
  <si>
    <t xml:space="preserve">__import__.res_partner_20000010319</t>
  </si>
  <si>
    <t xml:space="preserve">20000010319</t>
  </si>
  <si>
    <t xml:space="preserve">MAKE NOTES DESIGN LDA</t>
  </si>
  <si>
    <t xml:space="preserve">PT509744907</t>
  </si>
  <si>
    <t xml:space="preserve">4464-501</t>
  </si>
  <si>
    <t xml:space="preserve">RUA JOAO MENDOSA, 529 </t>
  </si>
  <si>
    <t xml:space="preserve">SENHORA DA </t>
  </si>
  <si>
    <t xml:space="preserve">info@makenotes.pt</t>
  </si>
  <si>
    <t xml:space="preserve">MAKE NOTES</t>
  </si>
  <si>
    <t xml:space="preserve">4000010319</t>
  </si>
  <si>
    <t xml:space="preserve">__import__.res_partner_20000010320</t>
  </si>
  <si>
    <t xml:space="preserve">20000010320</t>
  </si>
  <si>
    <t xml:space="preserve">OVELAR S.A.</t>
  </si>
  <si>
    <t xml:space="preserve">ESA28712479</t>
  </si>
  <si>
    <t xml:space="preserve">POL. IND. EL GUIJAR AVDA EL GUIJAR 17</t>
  </si>
  <si>
    <t xml:space="preserve">ARANDA DEL REY</t>
  </si>
  <si>
    <t xml:space="preserve">informacion@ovelar.es</t>
  </si>
  <si>
    <t xml:space="preserve">918 760 330</t>
  </si>
  <si>
    <t xml:space="preserve">OVELAR</t>
  </si>
  <si>
    <t xml:space="preserve">4000010320</t>
  </si>
  <si>
    <t xml:space="preserve">__import__.res_partner_20000010321</t>
  </si>
  <si>
    <t xml:space="preserve">20000010321</t>
  </si>
  <si>
    <t xml:space="preserve">FIRST STOP SOUTHWEST, S.A</t>
  </si>
  <si>
    <t xml:space="preserve">ESA28213387</t>
  </si>
  <si>
    <t xml:space="preserve">CL. ISLA GRACIOSA 3 1ºPL P.I. NORTE</t>
  </si>
  <si>
    <t xml:space="preserve">916233830</t>
  </si>
  <si>
    <t xml:space="preserve">4000010321</t>
  </si>
  <si>
    <t xml:space="preserve">__import__.res_partner_20000010322</t>
  </si>
  <si>
    <t xml:space="preserve">20000010322</t>
  </si>
  <si>
    <t xml:space="preserve">MASATS COLORING, SLU</t>
  </si>
  <si>
    <t xml:space="preserve">ESB61666913</t>
  </si>
  <si>
    <t xml:space="preserve">METALURGIA 38-42 2ª PLANTA </t>
  </si>
  <si>
    <t xml:space="preserve">BARCELONA </t>
  </si>
  <si>
    <t xml:space="preserve">JNOYA@FLAMAGAS.COM</t>
  </si>
  <si>
    <t xml:space="preserve">932910505</t>
  </si>
  <si>
    <t xml:space="preserve">4000010322</t>
  </si>
  <si>
    <t xml:space="preserve">Area privada recursos gráficos:
https://private.alpino.eu
Usuario: private@alpino.eu
Contraseña: Alpino2022
EL COMRCIAL INDICA QUE MANDA MERCANCIA SIN CARGO PARA COMPENSAR 1E-27148
ALPINO TARIFA   - 28%
MANLEY TARIFA -50%
DUNSA TARIFA   - 35%
</t>
  </si>
  <si>
    <t xml:space="preserve">__import__.res_partner_20000010323</t>
  </si>
  <si>
    <t xml:space="preserve">20000010323</t>
  </si>
  <si>
    <t xml:space="preserve">TRANSPORTES MARTINEZ SOUTO, S.L.</t>
  </si>
  <si>
    <t xml:space="preserve">ESB36028835</t>
  </si>
  <si>
    <t xml:space="preserve">36415</t>
  </si>
  <si>
    <t xml:space="preserve">ALTO DE PUXEIROS, S/N</t>
  </si>
  <si>
    <t xml:space="preserve">986331600</t>
  </si>
  <si>
    <t xml:space="preserve">4000010323</t>
  </si>
  <si>
    <t xml:space="preserve">__import__.res_partner_20000010324</t>
  </si>
  <si>
    <t xml:space="preserve">20000010324</t>
  </si>
  <si>
    <t xml:space="preserve">FLEUROP INTERFLORA  ESPAÑA, S.A</t>
  </si>
  <si>
    <t xml:space="preserve">ESA85934784</t>
  </si>
  <si>
    <t xml:space="preserve">28037</t>
  </si>
  <si>
    <t xml:space="preserve">JULIAN CAMARILLO 29 EDIF D1 4ªPLANT</t>
  </si>
  <si>
    <t xml:space="preserve">4000010324</t>
  </si>
  <si>
    <t xml:space="preserve">__import__.res_partner_20000010325</t>
  </si>
  <si>
    <t xml:space="preserve">20000010325</t>
  </si>
  <si>
    <t xml:space="preserve">SILES MERINO, S.L. </t>
  </si>
  <si>
    <t xml:space="preserve">ESB14544001</t>
  </si>
  <si>
    <t xml:space="preserve">14004</t>
  </si>
  <si>
    <t xml:space="preserve">AVDA. DEL AEROPUERTO, 31 - LOCAL</t>
  </si>
  <si>
    <t xml:space="preserve">VENTAS@SIPROF.COM</t>
  </si>
  <si>
    <t xml:space="preserve">957 410 548</t>
  </si>
  <si>
    <t xml:space="preserve">VSIP</t>
  </si>
  <si>
    <t xml:space="preserve">4000010325</t>
  </si>
  <si>
    <t xml:space="preserve">vsip.siprof.es
usuario: informatica@doustrazos.com
chave: 3967cfa8e1
</t>
  </si>
  <si>
    <t xml:space="preserve">__import__.res_partner_20000010327</t>
  </si>
  <si>
    <t xml:space="preserve">20000010327</t>
  </si>
  <si>
    <t xml:space="preserve">DISTRIBUCIONES FERAN, S.A.</t>
  </si>
  <si>
    <t xml:space="preserve">ESA28579191</t>
  </si>
  <si>
    <t xml:space="preserve">FUERTEVENTURA, 13</t>
  </si>
  <si>
    <t xml:space="preserve">POL. IND. NORTE</t>
  </si>
  <si>
    <t xml:space="preserve">916597350</t>
  </si>
  <si>
    <t xml:space="preserve">4000010327</t>
  </si>
  <si>
    <r>
      <rPr>
        <sz val="11"/>
        <color rgb="FF000000"/>
        <rFont val="Calibri"/>
        <family val="2"/>
        <charset val="1"/>
      </rPr>
      <t xml:space="preserve">Usuario: C0592
</t>
    </r>
    <r>
      <rPr>
        <sz val="10"/>
        <color rgb="FF000000"/>
        <rFont val="Arial"/>
        <family val="2"/>
        <charset val="1"/>
      </rPr>
      <t xml:space="preserve">Chave: #Dous2011</t>
    </r>
  </si>
  <si>
    <t xml:space="preserve">__import__.res_partner_20000010328</t>
  </si>
  <si>
    <t xml:space="preserve">20000010328</t>
  </si>
  <si>
    <t xml:space="preserve">KARIAPACK, S.L.U. </t>
  </si>
  <si>
    <t xml:space="preserve">ESB94158573</t>
  </si>
  <si>
    <t xml:space="preserve">PRAZA MAIOR 32 4ºF </t>
  </si>
  <si>
    <t xml:space="preserve">PONTEAREAS </t>
  </si>
  <si>
    <t xml:space="preserve">INFO@EMBALAJE.GL</t>
  </si>
  <si>
    <t xml:space="preserve">986 64 50 90 </t>
  </si>
  <si>
    <t xml:space="preserve">4000010328</t>
  </si>
  <si>
    <t xml:space="preserve">__import__.res_partner_20000010329</t>
  </si>
  <si>
    <t xml:space="preserve">20000010329</t>
  </si>
  <si>
    <t xml:space="preserve">DISTRISELL I.E.D, S.L.</t>
  </si>
  <si>
    <t xml:space="preserve">ESB87309217</t>
  </si>
  <si>
    <t xml:space="preserve">45950</t>
  </si>
  <si>
    <t xml:space="preserve">AVDA MONTEBOYAL, 160</t>
  </si>
  <si>
    <t xml:space="preserve">CASARUBIOS DEL MONTE</t>
  </si>
  <si>
    <t xml:space="preserve">918 818 256</t>
  </si>
  <si>
    <t xml:space="preserve">DISTRISELL</t>
  </si>
  <si>
    <t xml:space="preserve">4000010329</t>
  </si>
  <si>
    <t xml:space="preserve">__import__.res_partner_20000010330</t>
  </si>
  <si>
    <t xml:space="preserve">20000010330</t>
  </si>
  <si>
    <t xml:space="preserve">INTERACTIVO TRES DEVELOPMENT SLU</t>
  </si>
  <si>
    <t xml:space="preserve">ESB64952872</t>
  </si>
  <si>
    <t xml:space="preserve">08024</t>
  </si>
  <si>
    <t xml:space="preserve">CL MIQUEL BADIA Nº 6 4 1 </t>
  </si>
  <si>
    <t xml:space="preserve">info@i3de.es</t>
  </si>
  <si>
    <t xml:space="preserve">936676000</t>
  </si>
  <si>
    <t xml:space="preserve">PACKAGING IDEAS</t>
  </si>
  <si>
    <t xml:space="preserve">4000010330</t>
  </si>
  <si>
    <t xml:space="preserve">__import__.res_partner_20000010331</t>
  </si>
  <si>
    <t xml:space="preserve">20000010331</t>
  </si>
  <si>
    <t xml:space="preserve">100 METROS-ARTIGOS EMBALAGENS UNIPERSONAL, LDA</t>
  </si>
  <si>
    <t xml:space="preserve">PT504801309</t>
  </si>
  <si>
    <t xml:space="preserve">4590-451</t>
  </si>
  <si>
    <t xml:space="preserve">AVDA PADRE ANTONIO FERREIRAPOMBO, ARM 5</t>
  </si>
  <si>
    <t xml:space="preserve">MODELOS</t>
  </si>
  <si>
    <t xml:space="preserve">luis.dantas@100metros.pt</t>
  </si>
  <si>
    <t xml:space="preserve">255 865 051</t>
  </si>
  <si>
    <t xml:space="preserve">TRANSFERENCIA 30 DIAS</t>
  </si>
  <si>
    <t xml:space="preserve">100 METROS</t>
  </si>
  <si>
    <t xml:space="preserve">4000010331</t>
  </si>
  <si>
    <t xml:space="preserve">__import__.res_partner_20000010332</t>
  </si>
  <si>
    <t xml:space="preserve">20000010332</t>
  </si>
  <si>
    <t xml:space="preserve">HAPPYMOTS PARTNERS S.L.</t>
  </si>
  <si>
    <t xml:space="preserve">ESB66910001</t>
  </si>
  <si>
    <t xml:space="preserve">08242</t>
  </si>
  <si>
    <t xml:space="preserve">BERNAT DE CARERA 8, 2º </t>
  </si>
  <si>
    <t xml:space="preserve">HAPPYMOTS</t>
  </si>
  <si>
    <t xml:space="preserve">4000010332</t>
  </si>
  <si>
    <t xml:space="preserve">__import__.res_partner_20000010333</t>
  </si>
  <si>
    <t xml:space="preserve">20000010333</t>
  </si>
  <si>
    <t xml:space="preserve">COPIMUR, SL</t>
  </si>
  <si>
    <t xml:space="preserve">ESB30065668</t>
  </si>
  <si>
    <t xml:space="preserve">30007</t>
  </si>
  <si>
    <t xml:space="preserve">Avda. Abenarabi, 9</t>
  </si>
  <si>
    <t xml:space="preserve">MURCIA</t>
  </si>
  <si>
    <t xml:space="preserve">mcarmen@novac.es</t>
  </si>
  <si>
    <t xml:space="preserve">968 248 748</t>
  </si>
  <si>
    <t xml:space="preserve">NOVAC</t>
  </si>
  <si>
    <t xml:space="preserve">4000010333</t>
  </si>
  <si>
    <t xml:space="preserve">__import__.res_partner_20000010334</t>
  </si>
  <si>
    <t xml:space="preserve">20000010334</t>
  </si>
  <si>
    <t xml:space="preserve">MOVIOTEC, S.L.</t>
  </si>
  <si>
    <t xml:space="preserve">ESB74304684</t>
  </si>
  <si>
    <t xml:space="preserve">33010</t>
  </si>
  <si>
    <t xml:space="preserve">CL. MARCELINO FDEZ 3-5 BJ PTA. 2</t>
  </si>
  <si>
    <t xml:space="preserve">OVIEDO </t>
  </si>
  <si>
    <t xml:space="preserve">m.mosquera@genei.es</t>
  </si>
  <si>
    <t xml:space="preserve">912 179 358</t>
  </si>
  <si>
    <t xml:space="preserve">GENEI LOGISTICA</t>
  </si>
  <si>
    <t xml:space="preserve">4000010334</t>
  </si>
  <si>
    <t xml:space="preserve">__import__.res_partner_20000010335</t>
  </si>
  <si>
    <t xml:space="preserve">20000010335</t>
  </si>
  <si>
    <t xml:space="preserve">PONTEVEDRA BRICOLAJE, S.L.</t>
  </si>
  <si>
    <t xml:space="preserve">ESB94145182</t>
  </si>
  <si>
    <t xml:space="preserve">36157</t>
  </si>
  <si>
    <t xml:space="preserve">P.I A GRAXA DO VAO KM 1 CRTA VILAGARCIA</t>
  </si>
  <si>
    <t xml:space="preserve">CAMPAÑO</t>
  </si>
  <si>
    <t xml:space="preserve">4000010335</t>
  </si>
  <si>
    <t xml:space="preserve">__import__.res_partner_20000010336</t>
  </si>
  <si>
    <t xml:space="preserve">20000010336</t>
  </si>
  <si>
    <t xml:space="preserve">MKTO CATAL IMPORTACIONES, S.L.</t>
  </si>
  <si>
    <t xml:space="preserve">ESB04267225</t>
  </si>
  <si>
    <t xml:space="preserve">04640</t>
  </si>
  <si>
    <t xml:space="preserve">CRTA. HUERCAL OVERA, S/N</t>
  </si>
  <si>
    <t xml:space="preserve">PULPI</t>
  </si>
  <si>
    <t xml:space="preserve">comercial@makito.es</t>
  </si>
  <si>
    <t xml:space="preserve">950 464 791</t>
  </si>
  <si>
    <t xml:space="preserve">MAKITO</t>
  </si>
  <si>
    <t xml:space="preserve">4000010336</t>
  </si>
  <si>
    <t xml:space="preserve">www.makito.es
usuario:info@doustrazos.com
contraseña: #Dous2011
</t>
  </si>
  <si>
    <t xml:space="preserve">__import__.res_partner_20000010337</t>
  </si>
  <si>
    <t xml:space="preserve">20000010337</t>
  </si>
  <si>
    <t xml:space="preserve">TORRASPAPEL DISTRIBUCIONS, S.A UNIPERSONAL</t>
  </si>
  <si>
    <t xml:space="preserve">ESA28786424</t>
  </si>
  <si>
    <t xml:space="preserve">HIPATIA 4, ZONA IND. EL LOMO </t>
  </si>
  <si>
    <t xml:space="preserve">atencion.cliente@torraspapel.com</t>
  </si>
  <si>
    <t xml:space="preserve">900701177</t>
  </si>
  <si>
    <t xml:space="preserve">TORRASPAPEL</t>
  </si>
  <si>
    <t xml:space="preserve">4000010337</t>
  </si>
  <si>
    <t xml:space="preserve">BUSCAR PRECIOS EN PAGINA WEB:https://www.torrasdistribucion.com/
usuario: carlin@doustrazos.com
chave: Dous2011.
</t>
  </si>
  <si>
    <t xml:space="preserve">__import__.res_partner_20000010338</t>
  </si>
  <si>
    <t xml:space="preserve">20000010338</t>
  </si>
  <si>
    <t xml:space="preserve">PRIME POSITION, S.L.</t>
  </si>
  <si>
    <t xml:space="preserve">ESB82407123</t>
  </si>
  <si>
    <t xml:space="preserve">28343 </t>
  </si>
  <si>
    <t xml:space="preserve">C/GRAN CANARIA 35 VALDEMORO </t>
  </si>
  <si>
    <t xml:space="preserve">MADRID </t>
  </si>
  <si>
    <t xml:space="preserve">INFO@PRIMEPOSITION.ES</t>
  </si>
  <si>
    <t xml:space="preserve">918 084 625 </t>
  </si>
  <si>
    <t xml:space="preserve">ES5500751164080608064970</t>
  </si>
  <si>
    <t xml:space="preserve">4000010338</t>
  </si>
  <si>
    <t xml:space="preserve">__import__.res_partner_20000010339</t>
  </si>
  <si>
    <t xml:space="preserve">20000010339</t>
  </si>
  <si>
    <t xml:space="preserve">MORGADO PIEL, S.L.</t>
  </si>
  <si>
    <t xml:space="preserve">ESB92395078</t>
  </si>
  <si>
    <t xml:space="preserve">29320</t>
  </si>
  <si>
    <t xml:space="preserve">P.I SOTOLUZ C/ISAAC PERAL 9</t>
  </si>
  <si>
    <t xml:space="preserve">CAMPILLOS</t>
  </si>
  <si>
    <t xml:space="preserve">952724619</t>
  </si>
  <si>
    <t xml:space="preserve">4000010339</t>
  </si>
  <si>
    <t xml:space="preserve">__import__.res_partner_20000010340</t>
  </si>
  <si>
    <t xml:space="preserve">20000010340</t>
  </si>
  <si>
    <t xml:space="preserve">GOOGLE IRELAND LIMITED</t>
  </si>
  <si>
    <t xml:space="preserve">IE6388047V</t>
  </si>
  <si>
    <t xml:space="preserve">GORDON HOUSE</t>
  </si>
  <si>
    <t xml:space="preserve">BARROW STREET</t>
  </si>
  <si>
    <t xml:space="preserve">DUBLIN 4</t>
  </si>
  <si>
    <t xml:space="preserve">4000010340</t>
  </si>
  <si>
    <t xml:space="preserve">__import__.res_partner_20000010341</t>
  </si>
  <si>
    <t xml:space="preserve">20000010341</t>
  </si>
  <si>
    <t xml:space="preserve">IMPORCELOS - Importaçao de Louças e Brinquedos, LDA</t>
  </si>
  <si>
    <t xml:space="preserve">PT504279653</t>
  </si>
  <si>
    <t xml:space="preserve">4750-242</t>
  </si>
  <si>
    <t xml:space="preserve">TRAVESSA ARTUR FARIA, 188 - AREIAS</t>
  </si>
  <si>
    <t xml:space="preserve">SAO VICENTE</t>
  </si>
  <si>
    <t xml:space="preserve">Paulo.Loureiro@imporcelos.com</t>
  </si>
  <si>
    <t xml:space="preserve">4000010341</t>
  </si>
  <si>
    <t xml:space="preserve">__import__.res_partner_20000010342</t>
  </si>
  <si>
    <t xml:space="preserve">20000010342</t>
  </si>
  <si>
    <t xml:space="preserve">SAS PEBEO </t>
  </si>
  <si>
    <t xml:space="preserve">FR3135220939</t>
  </si>
  <si>
    <t xml:space="preserve">13881</t>
  </si>
  <si>
    <t xml:space="preserve">305 AV.DU PIC DE BERTAGNE CEDEX</t>
  </si>
  <si>
    <t xml:space="preserve">GEMENOS </t>
  </si>
  <si>
    <t xml:space="preserve">carlostrindade.pebeo@gmail.com</t>
  </si>
  <si>
    <t xml:space="preserve">4000010342</t>
  </si>
  <si>
    <t xml:space="preserve">__import__.res_partner_20000010343</t>
  </si>
  <si>
    <t xml:space="preserve">20000010343</t>
  </si>
  <si>
    <t xml:space="preserve">MANIFOL DESING, S.L.</t>
  </si>
  <si>
    <t xml:space="preserve">ESB66921206</t>
  </si>
  <si>
    <t xml:space="preserve">08320</t>
  </si>
  <si>
    <t xml:space="preserve">C/MESTRES VILLÁ 103 EL MASNOU </t>
  </si>
  <si>
    <t xml:space="preserve">VENTAS@MANIFOL.COM</t>
  </si>
  <si>
    <t xml:space="preserve">4000010343</t>
  </si>
  <si>
    <t xml:space="preserve">__import__.res_partner_20000010344</t>
  </si>
  <si>
    <t xml:space="preserve">20000010344</t>
  </si>
  <si>
    <t xml:space="preserve">OF CREACIONS GRÁFIQUES S.A.</t>
  </si>
  <si>
    <t xml:space="preserve">ESA36455348</t>
  </si>
  <si>
    <t xml:space="preserve">08002</t>
  </si>
  <si>
    <t xml:space="preserve">PETRITXOL 7 ENTL. </t>
  </si>
  <si>
    <t xml:space="preserve">INFO@OFCREACIONS.COM</t>
  </si>
  <si>
    <t xml:space="preserve">931853328</t>
  </si>
  <si>
    <t xml:space="preserve">4000010344</t>
  </si>
  <si>
    <t xml:space="preserve">__import__.res_partner_20000010345</t>
  </si>
  <si>
    <t xml:space="preserve">20000010345</t>
  </si>
  <si>
    <t xml:space="preserve">ROSSETTI DIFUSSION S.A.</t>
  </si>
  <si>
    <t xml:space="preserve">ESA79331351</t>
  </si>
  <si>
    <t xml:space="preserve">POL. IND. POLVORANCA C/TRIGO 1 N.13</t>
  </si>
  <si>
    <t xml:space="preserve">info@rossettibags.com</t>
  </si>
  <si>
    <t xml:space="preserve">91 694 70 24</t>
  </si>
  <si>
    <t xml:space="preserve">NANO DE LA ROSA</t>
  </si>
  <si>
    <t xml:space="preserve">4000010345</t>
  </si>
  <si>
    <t xml:space="preserve">__import__.res_partner_20000010346</t>
  </si>
  <si>
    <t xml:space="preserve">20000010346</t>
  </si>
  <si>
    <t xml:space="preserve">CENTRUM EUROPA SIA </t>
  </si>
  <si>
    <t xml:space="preserve">LV4000375495</t>
  </si>
  <si>
    <t xml:space="preserve">CAUNES 10/3-2 LV-1006</t>
  </si>
  <si>
    <t xml:space="preserve">RIGA</t>
  </si>
  <si>
    <t xml:space="preserve">LV</t>
  </si>
  <si>
    <t xml:space="preserve">olga@centrum-s.com</t>
  </si>
  <si>
    <t xml:space="preserve">+371 67-089791</t>
  </si>
  <si>
    <t xml:space="preserve">CENTRUM</t>
  </si>
  <si>
    <t xml:space="preserve">4000010346</t>
  </si>
  <si>
    <t xml:space="preserve">__import__.res_partner_20000010347</t>
  </si>
  <si>
    <t xml:space="preserve">20000010347</t>
  </si>
  <si>
    <t xml:space="preserve">FEBACSA 88, S.L.</t>
  </si>
  <si>
    <t xml:space="preserve">ESB58592510</t>
  </si>
  <si>
    <t xml:space="preserve">CAN PI, 19- POL. IND. GRAN VIA SUR</t>
  </si>
  <si>
    <t xml:space="preserve">POSTVENTA@FEBACSA.COM</t>
  </si>
  <si>
    <t xml:space="preserve">933 36 88 80 </t>
  </si>
  <si>
    <t xml:space="preserve">HELIO FERRETTI</t>
  </si>
  <si>
    <t xml:space="preserve">4000010347</t>
  </si>
  <si>
    <t xml:space="preserve">__import__.res_partner_20000010349</t>
  </si>
  <si>
    <t xml:space="preserve">20000010349</t>
  </si>
  <si>
    <t xml:space="preserve">KILOVATIO GALICIA, S.A.U</t>
  </si>
  <si>
    <t xml:space="preserve">ESA15051089</t>
  </si>
  <si>
    <t xml:space="preserve">15008</t>
  </si>
  <si>
    <t xml:space="preserve">CRTA A CORUÑA - BAÑOS ARTEIXO 18</t>
  </si>
  <si>
    <t xml:space="preserve">contabilidad.clientes@kilovatiogalicia.com</t>
  </si>
  <si>
    <t xml:space="preserve">981173300</t>
  </si>
  <si>
    <t xml:space="preserve">KILOVATIO VIGO</t>
  </si>
  <si>
    <t xml:space="preserve">4000010349</t>
  </si>
  <si>
    <t xml:space="preserve">__import__.res_partner_20000010350</t>
  </si>
  <si>
    <t xml:space="preserve">20000010350</t>
  </si>
  <si>
    <t xml:space="preserve">XESTION, S.L.</t>
  </si>
  <si>
    <t xml:space="preserve">ESB36017986</t>
  </si>
  <si>
    <t xml:space="preserve">PASEO MATUTINO 28 BJ</t>
  </si>
  <si>
    <t xml:space="preserve">986641111</t>
  </si>
  <si>
    <t xml:space="preserve">4000010350</t>
  </si>
  <si>
    <t xml:space="preserve">__import__.res_partner_20000010351</t>
  </si>
  <si>
    <t xml:space="preserve">20000010351</t>
  </si>
  <si>
    <t xml:space="preserve">SUMELGA, S.L.</t>
  </si>
  <si>
    <t xml:space="preserve">ESB36378537</t>
  </si>
  <si>
    <t xml:space="preserve">P.I A GRNAXA . AVDA PRINCIPAL </t>
  </si>
  <si>
    <t xml:space="preserve">PARC. 259</t>
  </si>
  <si>
    <t xml:space="preserve">electrogranxa@electrogranxa.com</t>
  </si>
  <si>
    <t xml:space="preserve">986342556</t>
  </si>
  <si>
    <t xml:space="preserve">4000010351</t>
  </si>
  <si>
    <t xml:space="preserve">__import__.res_partner_20000010352</t>
  </si>
  <si>
    <t xml:space="preserve">20000010352</t>
  </si>
  <si>
    <t xml:space="preserve">DACHSER SPAIN, S.A</t>
  </si>
  <si>
    <t xml:space="preserve">ESA20006607</t>
  </si>
  <si>
    <t xml:space="preserve">36315</t>
  </si>
  <si>
    <t xml:space="preserve">PARQ. TECNOLOGICO Y LOGISTICO, </t>
  </si>
  <si>
    <t xml:space="preserve">CL. 11 PARC. 1</t>
  </si>
  <si>
    <t xml:space="preserve">VALLADARES</t>
  </si>
  <si>
    <t xml:space="preserve">986412222</t>
  </si>
  <si>
    <t xml:space="preserve">4000010352</t>
  </si>
  <si>
    <t xml:space="preserve">__import__.res_partner_20000010353</t>
  </si>
  <si>
    <t xml:space="preserve">20000010353</t>
  </si>
  <si>
    <t xml:space="preserve">ASTIGARRAGA KIT LINE, S.L.</t>
  </si>
  <si>
    <t xml:space="preserve">ESB75128439</t>
  </si>
  <si>
    <t xml:space="preserve">E-20730</t>
  </si>
  <si>
    <t xml:space="preserve">OLALDE AREA 3</t>
  </si>
  <si>
    <t xml:space="preserve">AZPEITIA</t>
  </si>
  <si>
    <t xml:space="preserve">beceiro@beceirorepresentaciones.com</t>
  </si>
  <si>
    <t xml:space="preserve">943814261</t>
  </si>
  <si>
    <t xml:space="preserve">4000010353</t>
  </si>
  <si>
    <t xml:space="preserve">__import__.res_partner_20000010356</t>
  </si>
  <si>
    <t xml:space="preserve">20000010356</t>
  </si>
  <si>
    <t xml:space="preserve">ENSO&amp;ADEPT, S.L.</t>
  </si>
  <si>
    <t xml:space="preserve">ESB98966336</t>
  </si>
  <si>
    <t xml:space="preserve">POLIG LÀLTET C/ CASA D`OSCA 5A</t>
  </si>
  <si>
    <t xml:space="preserve">ONTINYENT </t>
  </si>
  <si>
    <t xml:space="preserve">962 90 72 90 </t>
  </si>
  <si>
    <t xml:space="preserve">4000010356</t>
  </si>
  <si>
    <t xml:space="preserve">__import__.res_partner_20000010358</t>
  </si>
  <si>
    <t xml:space="preserve">20000010358</t>
  </si>
  <si>
    <t xml:space="preserve">DISTRIBUIDORA UNIVERSAL, S.L. (DUNSA)</t>
  </si>
  <si>
    <t xml:space="preserve">ESB58123308</t>
  </si>
  <si>
    <t xml:space="preserve">08530</t>
  </si>
  <si>
    <t xml:space="preserve">JOSEP MARIA SERT 17, 3ª</t>
  </si>
  <si>
    <t xml:space="preserve">LA GARRIGA</t>
  </si>
  <si>
    <t xml:space="preserve">938718064</t>
  </si>
  <si>
    <t xml:space="preserve">DUNSA</t>
  </si>
  <si>
    <t xml:space="preserve">4000010358</t>
  </si>
  <si>
    <t xml:space="preserve">DESCUENTO 35%</t>
  </si>
  <si>
    <t xml:space="preserve">__import__.res_partner_20000010359</t>
  </si>
  <si>
    <t xml:space="preserve">20000010359</t>
  </si>
  <si>
    <t xml:space="preserve">E-VERSUS SISTEMA GLOBAL DE FONDOS EDITORIALES, S.L.</t>
  </si>
  <si>
    <t xml:space="preserve">ESB87171062</t>
  </si>
  <si>
    <t xml:space="preserve">DALIA, 18-20</t>
  </si>
  <si>
    <t xml:space="preserve">POL. IND. EL LOMO</t>
  </si>
  <si>
    <t xml:space="preserve">HUMANES</t>
  </si>
  <si>
    <t xml:space="preserve">PEDIDOS@GRUPOCEP.EU</t>
  </si>
  <si>
    <t xml:space="preserve">674 615 832</t>
  </si>
  <si>
    <t xml:space="preserve">CEP</t>
  </si>
  <si>
    <t xml:space="preserve">4000010359</t>
  </si>
  <si>
    <t xml:space="preserve">__import__.res_partner_20000010360</t>
  </si>
  <si>
    <t xml:space="preserve">20000010360</t>
  </si>
  <si>
    <t xml:space="preserve">MANIPULADOS MARIOLA S.L.</t>
  </si>
  <si>
    <t xml:space="preserve">ESB06186084</t>
  </si>
  <si>
    <t xml:space="preserve">06479</t>
  </si>
  <si>
    <t xml:space="preserve">PRINCIPE FELIPE 8 </t>
  </si>
  <si>
    <t xml:space="preserve">BADAJOZ </t>
  </si>
  <si>
    <t xml:space="preserve">ventas@carpetasmariola.es</t>
  </si>
  <si>
    <t xml:space="preserve">MARIOLA</t>
  </si>
  <si>
    <t xml:space="preserve">4000010360</t>
  </si>
  <si>
    <t xml:space="preserve">DESCUENTO 25%</t>
  </si>
  <si>
    <t xml:space="preserve">__import__.res_partner_20000010362</t>
  </si>
  <si>
    <t xml:space="preserve">20000010362</t>
  </si>
  <si>
    <t xml:space="preserve">BINNEY &amp; SMITH LTD.</t>
  </si>
  <si>
    <t xml:space="preserve">IT0252108040</t>
  </si>
  <si>
    <t xml:space="preserve">47122</t>
  </si>
  <si>
    <t xml:space="preserve">VIA FLIGINE 13 FORLI </t>
  </si>
  <si>
    <t xml:space="preserve">FORLI </t>
  </si>
  <si>
    <t xml:space="preserve">beanavarrofano@gmail.com</t>
  </si>
  <si>
    <t xml:space="preserve">CRAYOLA </t>
  </si>
  <si>
    <t xml:space="preserve">4000010362</t>
  </si>
  <si>
    <t xml:space="preserve">__import__.res_partner_20000010363</t>
  </si>
  <si>
    <t xml:space="preserve">20000010363</t>
  </si>
  <si>
    <t xml:space="preserve">ECR 2000, S.L.</t>
  </si>
  <si>
    <t xml:space="preserve">ESB32165300</t>
  </si>
  <si>
    <t xml:space="preserve">CRTA DE LA GRANJA Nº72C - BAJO</t>
  </si>
  <si>
    <t xml:space="preserve">988249306</t>
  </si>
  <si>
    <t xml:space="preserve">4000010363</t>
  </si>
  <si>
    <t xml:space="preserve">__import__.res_partner_20000010371</t>
  </si>
  <si>
    <t xml:space="preserve">20000010371</t>
  </si>
  <si>
    <t xml:space="preserve">MAIN PAPER S.L.</t>
  </si>
  <si>
    <t xml:space="preserve">ESB86211745</t>
  </si>
  <si>
    <t xml:space="preserve">45224</t>
  </si>
  <si>
    <t xml:space="preserve">C/ COBRE 13</t>
  </si>
  <si>
    <t xml:space="preserve">SESEÑA NUEVO TOLEDO</t>
  </si>
  <si>
    <t xml:space="preserve">91 893 66 81 </t>
  </si>
  <si>
    <t xml:space="preserve">MADRID PAPEL</t>
  </si>
  <si>
    <t xml:space="preserve">4000010371</t>
  </si>
  <si>
    <t xml:space="preserve">__import__.res_partner_20000010374</t>
  </si>
  <si>
    <t xml:space="preserve">20000010374</t>
  </si>
  <si>
    <t xml:space="preserve">CONTROL TACTIL, S.L.</t>
  </si>
  <si>
    <t xml:space="preserve">ESB54705140</t>
  </si>
  <si>
    <t xml:space="preserve">03570</t>
  </si>
  <si>
    <t xml:space="preserve">Constitución, 48</t>
  </si>
  <si>
    <t xml:space="preserve">Villajoyosa</t>
  </si>
  <si>
    <t xml:space="preserve">CONSUMIBLESTPV.COM</t>
  </si>
  <si>
    <t xml:space="preserve">4000010374</t>
  </si>
  <si>
    <t xml:space="preserve">__import__.res_partner_20000010375</t>
  </si>
  <si>
    <t xml:space="preserve">20000010375</t>
  </si>
  <si>
    <t xml:space="preserve">GRUPO LOGISCENTER, S.L.</t>
  </si>
  <si>
    <t xml:space="preserve">ESB85538601</t>
  </si>
  <si>
    <t xml:space="preserve">FUERTEVENTURA, 4 PL.2 OF.8</t>
  </si>
  <si>
    <t xml:space="preserve">medina@logiscenter.com</t>
  </si>
  <si>
    <t xml:space="preserve">911 433 043</t>
  </si>
  <si>
    <t xml:space="preserve">4000010375</t>
  </si>
  <si>
    <t xml:space="preserve">__import__.res_partner_20000010376</t>
  </si>
  <si>
    <t xml:space="preserve">20000010376</t>
  </si>
  <si>
    <t xml:space="preserve">D. &amp; D. PACKAGING S.R.L.</t>
  </si>
  <si>
    <t xml:space="preserve">IT02453840023</t>
  </si>
  <si>
    <t xml:space="preserve">13019</t>
  </si>
  <si>
    <t xml:space="preserve">REGIONE GIARE S/N</t>
  </si>
  <si>
    <t xml:space="preserve">VARALLO (VC)</t>
  </si>
  <si>
    <t xml:space="preserve">0163 51501</t>
  </si>
  <si>
    <t xml:space="preserve">D. &amp; D.</t>
  </si>
  <si>
    <t xml:space="preserve">4000010376</t>
  </si>
  <si>
    <t xml:space="preserve">__import__.res_partner_20000010377</t>
  </si>
  <si>
    <t xml:space="preserve">20000010377</t>
  </si>
  <si>
    <t xml:space="preserve">INNOVACION Y CUALIFICACION, S.L.</t>
  </si>
  <si>
    <t xml:space="preserve">ESB92041839</t>
  </si>
  <si>
    <t xml:space="preserve">29200</t>
  </si>
  <si>
    <t xml:space="preserve">CUEVA DE VIERA, 2 - CENTRO NEGOCIOS CADI</t>
  </si>
  <si>
    <t xml:space="preserve">EDIF. ANTEQUERA, LOCAL 3 - POL. IND. ANTEQUERA</t>
  </si>
  <si>
    <t xml:space="preserve">ANTEQUERA</t>
  </si>
  <si>
    <t xml:space="preserve">administracion@icgrupo.com</t>
  </si>
  <si>
    <t xml:space="preserve">952 706 004</t>
  </si>
  <si>
    <t xml:space="preserve">IC EDITORIAL</t>
  </si>
  <si>
    <t xml:space="preserve">4000010377</t>
  </si>
  <si>
    <t xml:space="preserve">__import__.res_partner_20000010378</t>
  </si>
  <si>
    <t xml:space="preserve">20000010378</t>
  </si>
  <si>
    <t xml:space="preserve">FUNDACION INTEGRA</t>
  </si>
  <si>
    <t xml:space="preserve">ESG36880615</t>
  </si>
  <si>
    <t xml:space="preserve">MARTINEZ GARRIDO, 29</t>
  </si>
  <si>
    <t xml:space="preserve">INFO@FUNDACIONINTEGRAVIGO.ORG</t>
  </si>
  <si>
    <t xml:space="preserve">986 480 338</t>
  </si>
  <si>
    <t xml:space="preserve">4000010378</t>
  </si>
  <si>
    <t xml:space="preserve">__import__.res_partner_20000010386</t>
  </si>
  <si>
    <t xml:space="preserve">20000010386</t>
  </si>
  <si>
    <t xml:space="preserve">CARAL ROJO, S.L</t>
  </si>
  <si>
    <t xml:space="preserve">ESB27857051</t>
  </si>
  <si>
    <t xml:space="preserve">36207</t>
  </si>
  <si>
    <t xml:space="preserve">TRAVESIA DE VIGO 215 2º</t>
  </si>
  <si>
    <t xml:space="preserve">BANCO SANTANDER</t>
  </si>
  <si>
    <t xml:space="preserve">ES6800495358332516150391</t>
  </si>
  <si>
    <t xml:space="preserve">4000010386</t>
  </si>
  <si>
    <t xml:space="preserve">__import__.res_partner_20000010388</t>
  </si>
  <si>
    <t xml:space="preserve">20000010388</t>
  </si>
  <si>
    <t xml:space="preserve">VEKEMANS BVBA</t>
  </si>
  <si>
    <t xml:space="preserve">BE0464747982</t>
  </si>
  <si>
    <t xml:space="preserve">9170</t>
  </si>
  <si>
    <t xml:space="preserve">BEEKSTRAAT 10</t>
  </si>
  <si>
    <t xml:space="preserve">SINT - PAUWELS</t>
  </si>
  <si>
    <t xml:space="preserve">BE</t>
  </si>
  <si>
    <t xml:space="preserve">MAVY@TINCTOYS.COM; INFO@TINCTOY.COM</t>
  </si>
  <si>
    <t xml:space="preserve">BERTOY</t>
  </si>
  <si>
    <t xml:space="preserve">4000010388</t>
  </si>
  <si>
    <t xml:space="preserve">__import__.res_partner_20000010389</t>
  </si>
  <si>
    <t xml:space="preserve">20000010389</t>
  </si>
  <si>
    <t xml:space="preserve">ATRAMENTUM, S.L.</t>
  </si>
  <si>
    <t xml:space="preserve">ESB54685573</t>
  </si>
  <si>
    <t xml:space="preserve">03005</t>
  </si>
  <si>
    <t xml:space="preserve">AVDA GENERAL MARVÁ 11-13 ENTLO </t>
  </si>
  <si>
    <t xml:space="preserve">965269585</t>
  </si>
  <si>
    <t xml:space="preserve">MUCHOCARTUCHO</t>
  </si>
  <si>
    <t xml:space="preserve">4000010389</t>
  </si>
  <si>
    <t xml:space="preserve">jmpereira@dous...
Dous2011</t>
  </si>
  <si>
    <t xml:space="preserve">__import__.res_partner_20000010390</t>
  </si>
  <si>
    <t xml:space="preserve">20000010390</t>
  </si>
  <si>
    <t xml:space="preserve">GONSUSHOP, S.C</t>
  </si>
  <si>
    <t xml:space="preserve">ESJ70530332</t>
  </si>
  <si>
    <t xml:space="preserve">15160</t>
  </si>
  <si>
    <t xml:space="preserve">PLACÍÑA DO CONDE 6 1ºD</t>
  </si>
  <si>
    <t xml:space="preserve">SADA</t>
  </si>
  <si>
    <t xml:space="preserve">698149945</t>
  </si>
  <si>
    <t xml:space="preserve">ALVARO</t>
  </si>
  <si>
    <t xml:space="preserve">4000010390</t>
  </si>
  <si>
    <t xml:space="preserve">__import__.res_partner_20000010391</t>
  </si>
  <si>
    <t xml:space="preserve">20000010391</t>
  </si>
  <si>
    <t xml:space="preserve">CONSULTING DE INGENIERIA E INSTALACIONES, S.L.</t>
  </si>
  <si>
    <t xml:space="preserve">ESB36045441</t>
  </si>
  <si>
    <t xml:space="preserve">36004</t>
  </si>
  <si>
    <t xml:space="preserve">SAN MAURO 51-53 BJ</t>
  </si>
  <si>
    <t xml:space="preserve">info@rioboconsulting.com</t>
  </si>
  <si>
    <t xml:space="preserve">986846554</t>
  </si>
  <si>
    <t xml:space="preserve">RIOBÓ</t>
  </si>
  <si>
    <t xml:space="preserve">4000010391</t>
  </si>
  <si>
    <t xml:space="preserve">__import__.res_partner_20000010392</t>
  </si>
  <si>
    <t xml:space="preserve">20000010392</t>
  </si>
  <si>
    <t xml:space="preserve">SOCIEDADE ESTATAL CORREOS E TELEGRAFOS, S.A</t>
  </si>
  <si>
    <t xml:space="preserve">ESA83052407</t>
  </si>
  <si>
    <t xml:space="preserve">S.M.E VIA DUBLIN 7</t>
  </si>
  <si>
    <t xml:space="preserve">atcliente@correos.com</t>
  </si>
  <si>
    <t xml:space="preserve">TARXETA</t>
  </si>
  <si>
    <t xml:space="preserve">CORREOS</t>
  </si>
  <si>
    <t xml:space="preserve">4000010392</t>
  </si>
  <si>
    <t xml:space="preserve">__import__.res_partner_20000010393</t>
  </si>
  <si>
    <t xml:space="preserve">20000010393</t>
  </si>
  <si>
    <t xml:space="preserve">SERENA CARBURANTES, S.L.</t>
  </si>
  <si>
    <t xml:space="preserve">ESB27791383</t>
  </si>
  <si>
    <t xml:space="preserve">RUA REDONDELA S/N</t>
  </si>
  <si>
    <t xml:space="preserve">ESTACION DE SERVICIO</t>
  </si>
  <si>
    <t xml:space="preserve">4000010393</t>
  </si>
  <si>
    <t xml:space="preserve">__import__.res_partner_20000010394</t>
  </si>
  <si>
    <t xml:space="preserve">20000010394</t>
  </si>
  <si>
    <t xml:space="preserve">SERVICIOS HOSTELEROS SICAMPO, S.L.</t>
  </si>
  <si>
    <t xml:space="preserve">ESB94044948</t>
  </si>
  <si>
    <t xml:space="preserve">4000010394</t>
  </si>
  <si>
    <t xml:space="preserve">__import__.res_partner_20000010395</t>
  </si>
  <si>
    <t xml:space="preserve">20000010395</t>
  </si>
  <si>
    <t xml:space="preserve">MANILLAS RIG, S.L.</t>
  </si>
  <si>
    <t xml:space="preserve">ESB36787083</t>
  </si>
  <si>
    <t xml:space="preserve">C/URUGUAY 8</t>
  </si>
  <si>
    <t xml:space="preserve">986447617</t>
  </si>
  <si>
    <t xml:space="preserve">FERRETERIA "LA MANILLA" </t>
  </si>
  <si>
    <t xml:space="preserve">4000010395</t>
  </si>
  <si>
    <t xml:space="preserve">__import__.res_partner_20000010396</t>
  </si>
  <si>
    <t xml:space="preserve">20000010396</t>
  </si>
  <si>
    <t xml:space="preserve">NATURGY IBERIA, S.A</t>
  </si>
  <si>
    <t xml:space="preserve">ESA08431090</t>
  </si>
  <si>
    <t xml:space="preserve">28033</t>
  </si>
  <si>
    <t xml:space="preserve">AVDA. SAN LUIS 77</t>
  </si>
  <si>
    <t xml:space="preserve">senenergyclass@naturgy.com</t>
  </si>
  <si>
    <t xml:space="preserve">4000010396</t>
  </si>
  <si>
    <t xml:space="preserve">__import__.res_partner_20000010397</t>
  </si>
  <si>
    <t xml:space="preserve">20000010397</t>
  </si>
  <si>
    <t xml:space="preserve">JESUS MARTINEZ PAZOS</t>
  </si>
  <si>
    <t xml:space="preserve">ES34867463S</t>
  </si>
  <si>
    <t xml:space="preserve">CL. ESPERANZA 11, 1º</t>
  </si>
  <si>
    <t xml:space="preserve">ALQUILER PONTEAREAS</t>
  </si>
  <si>
    <t xml:space="preserve">4000010397</t>
  </si>
  <si>
    <t xml:space="preserve">__import__.res_partner_20000010398</t>
  </si>
  <si>
    <t xml:space="preserve">20000010398</t>
  </si>
  <si>
    <t xml:space="preserve">MERCEDES ONS INSUA</t>
  </si>
  <si>
    <t xml:space="preserve">ES76965897P</t>
  </si>
  <si>
    <t xml:space="preserve">15200</t>
  </si>
  <si>
    <t xml:space="preserve">LG RIO DO PORTO 28</t>
  </si>
  <si>
    <t xml:space="preserve">ALQUILER NOIA</t>
  </si>
  <si>
    <t xml:space="preserve">4000010398</t>
  </si>
  <si>
    <t xml:space="preserve">__import__.res_partner_20000010399</t>
  </si>
  <si>
    <t xml:space="preserve">20000010399</t>
  </si>
  <si>
    <t xml:space="preserve">CAMILO GRANDAL PEREZ</t>
  </si>
  <si>
    <t xml:space="preserve">ES36026125Y</t>
  </si>
  <si>
    <t xml:space="preserve">36417</t>
  </si>
  <si>
    <t xml:space="preserve">TORROSO – OUTEIRO</t>
  </si>
  <si>
    <t xml:space="preserve">ALQUILER PORRIÑO</t>
  </si>
  <si>
    <t xml:space="preserve">4000010399</t>
  </si>
  <si>
    <t xml:space="preserve">__import__.res_partner_20000010400</t>
  </si>
  <si>
    <t xml:space="preserve">20000010400</t>
  </si>
  <si>
    <t xml:space="preserve">JUAN JESUS MACEIRA MACEIRA</t>
  </si>
  <si>
    <t xml:space="preserve">ES35555174A</t>
  </si>
  <si>
    <t xml:space="preserve">AVDA. DE LA HISPANIDAD 87 2ºB</t>
  </si>
  <si>
    <t xml:space="preserve">ALQUILER TUI</t>
  </si>
  <si>
    <t xml:space="preserve">4000010400</t>
  </si>
  <si>
    <t xml:space="preserve">__import__.res_partner_20000010401</t>
  </si>
  <si>
    <t xml:space="preserve">20000010401</t>
  </si>
  <si>
    <t xml:space="preserve">AMELIA ALFAYA GARCIA</t>
  </si>
  <si>
    <t xml:space="preserve">ES35929441Z</t>
  </si>
  <si>
    <t xml:space="preserve">PASEO DE LA JUNQUERA 25 5º</t>
  </si>
  <si>
    <t xml:space="preserve">mariapuga@telefonica.net</t>
  </si>
  <si>
    <t xml:space="preserve">986400181</t>
  </si>
  <si>
    <t xml:space="preserve">ES3100812300110006031612</t>
  </si>
  <si>
    <t xml:space="preserve">ALQUILER REDONDELA</t>
  </si>
  <si>
    <t xml:space="preserve">4000010401</t>
  </si>
  <si>
    <t xml:space="preserve">__import__.res_partner_20000010402</t>
  </si>
  <si>
    <t xml:space="preserve">20000010402</t>
  </si>
  <si>
    <t xml:space="preserve">MANUEL MARIÑO BARROS</t>
  </si>
  <si>
    <t xml:space="preserve">ES35563587K</t>
  </si>
  <si>
    <t xml:space="preserve">36870</t>
  </si>
  <si>
    <t xml:space="preserve">AVDA PORTUGAL 33</t>
  </si>
  <si>
    <t xml:space="preserve">MONDARIZ</t>
  </si>
  <si>
    <t xml:space="preserve">4000010402</t>
  </si>
  <si>
    <t xml:space="preserve">__import__.res_partner_20000010414</t>
  </si>
  <si>
    <t xml:space="preserve">20000010414</t>
  </si>
  <si>
    <t xml:space="preserve">INSTALACIONES ELECTRICAS VANIRAY, S.L.</t>
  </si>
  <si>
    <t xml:space="preserve">ESB27852920</t>
  </si>
  <si>
    <t xml:space="preserve">36419 </t>
  </si>
  <si>
    <t xml:space="preserve">CRTA. PORRIÑO - GONDOMAR 124</t>
  </si>
  <si>
    <t xml:space="preserve">605 515 010</t>
  </si>
  <si>
    <t xml:space="preserve">CAIXESBBXXX</t>
  </si>
  <si>
    <t xml:space="preserve">4000010414</t>
  </si>
  <si>
    <t xml:space="preserve">__import__.res_partner_20000010415</t>
  </si>
  <si>
    <t xml:space="preserve">20000010415</t>
  </si>
  <si>
    <t xml:space="preserve">CIDE HCENERGIA, S.A</t>
  </si>
  <si>
    <t xml:space="preserve">ESA74255282</t>
  </si>
  <si>
    <t xml:space="preserve">C/Capitan Haya 1 3º Sur</t>
  </si>
  <si>
    <t xml:space="preserve">CHC ENERGIA</t>
  </si>
  <si>
    <t xml:space="preserve">4000010415</t>
  </si>
  <si>
    <t xml:space="preserve">__import__.res_partner_20000010416</t>
  </si>
  <si>
    <t xml:space="preserve">20000010416</t>
  </si>
  <si>
    <t xml:space="preserve">HOSTELERIA BARREIRO, S.L.</t>
  </si>
  <si>
    <t xml:space="preserve">ESB70170683</t>
  </si>
  <si>
    <t xml:space="preserve">RUA OUTONIL 1</t>
  </si>
  <si>
    <t xml:space="preserve">981822850</t>
  </si>
  <si>
    <t xml:space="preserve">TÍO MANOLO</t>
  </si>
  <si>
    <t xml:space="preserve">4000010416</t>
  </si>
  <si>
    <t xml:space="preserve">__import__.res_partner_20000010417</t>
  </si>
  <si>
    <t xml:space="preserve">20000010417</t>
  </si>
  <si>
    <t xml:space="preserve">XENERA COMPAÑÍA ELECTRICA, S.A</t>
  </si>
  <si>
    <t xml:space="preserve">ESA94071727</t>
  </si>
  <si>
    <t xml:space="preserve">C/CORUÑA 20</t>
  </si>
  <si>
    <t xml:space="preserve">SETASA@SETATUI.COM</t>
  </si>
  <si>
    <t xml:space="preserve">986 60 01 16</t>
  </si>
  <si>
    <t xml:space="preserve">SETA</t>
  </si>
  <si>
    <t xml:space="preserve">4000010417</t>
  </si>
  <si>
    <t xml:space="preserve">__import__.res_partner_20000010418</t>
  </si>
  <si>
    <t xml:space="preserve">20000010418</t>
  </si>
  <si>
    <t xml:space="preserve">M Y S AUTOMATISMOS Y REPARACIONES, S.L.</t>
  </si>
  <si>
    <t xml:space="preserve">ESB27805084</t>
  </si>
  <si>
    <t xml:space="preserve">C/ BARREIRO 21 - BAJO</t>
  </si>
  <si>
    <t xml:space="preserve">986 486 399</t>
  </si>
  <si>
    <t xml:space="preserve">4000010418</t>
  </si>
  <si>
    <t xml:space="preserve">__import__.res_partner_20000010420</t>
  </si>
  <si>
    <t xml:space="preserve">20000010420</t>
  </si>
  <si>
    <t xml:space="preserve">AUTOS J. RIVADA ., S.L.</t>
  </si>
  <si>
    <t xml:space="preserve">ESB36296770</t>
  </si>
  <si>
    <t xml:space="preserve">36419</t>
  </si>
  <si>
    <t xml:space="preserve">CRTA. PORRIÑO - REDONDELA 5</t>
  </si>
  <si>
    <t xml:space="preserve">autosrivada@bosch-bcs.com</t>
  </si>
  <si>
    <t xml:space="preserve">986 33 02 69</t>
  </si>
  <si>
    <t xml:space="preserve">4000010420</t>
  </si>
  <si>
    <t xml:space="preserve">__import__.res_partner_20000010421</t>
  </si>
  <si>
    <t xml:space="preserve">20000010421</t>
  </si>
  <si>
    <t xml:space="preserve">PORTO MARTINEZ, S.L.</t>
  </si>
  <si>
    <t xml:space="preserve">ESB36353449</t>
  </si>
  <si>
    <t xml:space="preserve">P.I CHAN DA PONTE 34</t>
  </si>
  <si>
    <t xml:space="preserve">info@portomartinez.es</t>
  </si>
  <si>
    <t xml:space="preserve">619034159</t>
  </si>
  <si>
    <t xml:space="preserve">4000010421</t>
  </si>
  <si>
    <t xml:space="preserve">__import__.res_partner_20000010422</t>
  </si>
  <si>
    <t xml:space="preserve">20000010422</t>
  </si>
  <si>
    <t xml:space="preserve">CORPORACION MPE SERVICIO DE PREVENCIÓN, S.L.</t>
  </si>
  <si>
    <t xml:space="preserve">ESB91891317</t>
  </si>
  <si>
    <t xml:space="preserve">C/CAMELIAS 108 OFICINA 5-6</t>
  </si>
  <si>
    <t xml:space="preserve">grupompe@grupompe.es</t>
  </si>
  <si>
    <t xml:space="preserve">902767121</t>
  </si>
  <si>
    <t xml:space="preserve">MPE</t>
  </si>
  <si>
    <t xml:space="preserve">4000010422</t>
  </si>
  <si>
    <t xml:space="preserve">__import__.res_partner_20000010423</t>
  </si>
  <si>
    <t xml:space="preserve">20000010423</t>
  </si>
  <si>
    <t xml:space="preserve">ROFERVIGO, S.L.</t>
  </si>
  <si>
    <t xml:space="preserve">ESB36893220</t>
  </si>
  <si>
    <t xml:space="preserve">CRTA MADRID 210</t>
  </si>
  <si>
    <t xml:space="preserve">986 26 01 26</t>
  </si>
  <si>
    <t xml:space="preserve">NISSAN VIGO</t>
  </si>
  <si>
    <t xml:space="preserve">4000010423</t>
  </si>
  <si>
    <t xml:space="preserve">__import__.res_partner_20000010425</t>
  </si>
  <si>
    <t xml:space="preserve">20000010425</t>
  </si>
  <si>
    <t xml:space="preserve">CONSORCIO DE AUGAS DO LOURO</t>
  </si>
  <si>
    <t xml:space="preserve">ESS3600054E</t>
  </si>
  <si>
    <t xml:space="preserve">EDAR DE GUILLAREI CÑA VEIGA S/N</t>
  </si>
  <si>
    <t xml:space="preserve">900810103</t>
  </si>
  <si>
    <t xml:space="preserve">4000010425</t>
  </si>
  <si>
    <t xml:space="preserve">__import__.res_partner_20000010426</t>
  </si>
  <si>
    <t xml:space="preserve">20000010426</t>
  </si>
  <si>
    <t xml:space="preserve">UTE REDONDELA </t>
  </si>
  <si>
    <t xml:space="preserve">ESU80627169</t>
  </si>
  <si>
    <t xml:space="preserve">36693</t>
  </si>
  <si>
    <t xml:space="preserve">AVDA POETA MENDIÑO 1 </t>
  </si>
  <si>
    <t xml:space="preserve">900813357</t>
  </si>
  <si>
    <t xml:space="preserve">4000010426</t>
  </si>
  <si>
    <t xml:space="preserve">__import__.res_partner_20000010428</t>
  </si>
  <si>
    <t xml:space="preserve">20000010428</t>
  </si>
  <si>
    <t xml:space="preserve">INDOGO, S.L.</t>
  </si>
  <si>
    <t xml:space="preserve">ESB32128571</t>
  </si>
  <si>
    <t xml:space="preserve">C/ SAN SALVADOR Nº2 3ºE</t>
  </si>
  <si>
    <t xml:space="preserve">OUTLET TUI</t>
  </si>
  <si>
    <t xml:space="preserve">4000010428</t>
  </si>
  <si>
    <t xml:space="preserve">__import__.res_partner_20000010429</t>
  </si>
  <si>
    <t xml:space="preserve">20000010429</t>
  </si>
  <si>
    <t xml:space="preserve">JOSE ANGEL MARTINEZ PRESA</t>
  </si>
  <si>
    <t xml:space="preserve">ES34874756V</t>
  </si>
  <si>
    <t xml:space="preserve">PAZOS BAIXOS 2 - ALXEN</t>
  </si>
  <si>
    <t xml:space="preserve">FONTANERIA PEPE</t>
  </si>
  <si>
    <t xml:space="preserve">4000010429</t>
  </si>
  <si>
    <t xml:space="preserve">__import__.res_partner_20000010431</t>
  </si>
  <si>
    <t xml:space="preserve">20000010431</t>
  </si>
  <si>
    <t xml:space="preserve">ENTE PUBLICO AUGAS DE GALICIA </t>
  </si>
  <si>
    <t xml:space="preserve">ESQ1500378C</t>
  </si>
  <si>
    <t xml:space="preserve">15704</t>
  </si>
  <si>
    <t xml:space="preserve">PRAZA DE CAMILO DIAZ BALIÑO 7-9</t>
  </si>
  <si>
    <t xml:space="preserve">4000010431</t>
  </si>
  <si>
    <t xml:space="preserve">__import__.res_partner_20000010433</t>
  </si>
  <si>
    <t xml:space="preserve">20000010433</t>
  </si>
  <si>
    <t xml:space="preserve">FERRETERIA PONTENOVA, S.L.</t>
  </si>
  <si>
    <t xml:space="preserve">ESB36351856</t>
  </si>
  <si>
    <t xml:space="preserve">C/DOMINGO BUENO 29</t>
  </si>
  <si>
    <t xml:space="preserve">986335111</t>
  </si>
  <si>
    <t xml:space="preserve">4000010433</t>
  </si>
  <si>
    <t xml:space="preserve">__import__.res_partner_20000010434</t>
  </si>
  <si>
    <t xml:space="preserve">20000010434</t>
  </si>
  <si>
    <t xml:space="preserve">MANIPULADOS GRANADA S.L. </t>
  </si>
  <si>
    <t xml:space="preserve">ESB19657675</t>
  </si>
  <si>
    <t xml:space="preserve">POL.IND.JUNCARIL.CALLE GUADIX 366</t>
  </si>
  <si>
    <t xml:space="preserve">ALBOLOTE </t>
  </si>
  <si>
    <t xml:space="preserve">CHARO@MANIPULADOSGRANADA.ES</t>
  </si>
  <si>
    <t xml:space="preserve">958491867</t>
  </si>
  <si>
    <t xml:space="preserve">4000010434</t>
  </si>
  <si>
    <t xml:space="preserve">__import__.res_partner_20000010435</t>
  </si>
  <si>
    <t xml:space="preserve">20000010435</t>
  </si>
  <si>
    <t xml:space="preserve">I-MONDI GMBH</t>
  </si>
  <si>
    <t xml:space="preserve">DE272593461</t>
  </si>
  <si>
    <t xml:space="preserve">90556</t>
  </si>
  <si>
    <t xml:space="preserve">AM STEINBRUCH 27</t>
  </si>
  <si>
    <t xml:space="preserve">CADOLZBURG</t>
  </si>
  <si>
    <t xml:space="preserve">+49910345287500</t>
  </si>
  <si>
    <t xml:space="preserve">4000010435</t>
  </si>
  <si>
    <t xml:space="preserve">__import__.res_partner_20000010446</t>
  </si>
  <si>
    <t xml:space="preserve">20000010446</t>
  </si>
  <si>
    <t xml:space="preserve">JUAN JOSE FERREIRA NOVAS</t>
  </si>
  <si>
    <t xml:space="preserve">ES35285924Z</t>
  </si>
  <si>
    <t xml:space="preserve">15179</t>
  </si>
  <si>
    <t xml:space="preserve">RUA VIÑAS BABILONIA 17, 2</t>
  </si>
  <si>
    <t xml:space="preserve">LA CORUÑA</t>
  </si>
  <si>
    <t xml:space="preserve">670 505 444</t>
  </si>
  <si>
    <t xml:space="preserve">ES9200306143420387455273</t>
  </si>
  <si>
    <t xml:space="preserve">COMERCIAL FERNOVA</t>
  </si>
  <si>
    <t xml:space="preserve">4000010446</t>
  </si>
  <si>
    <t xml:space="preserve">__import__.res_partner_20000010448</t>
  </si>
  <si>
    <t xml:space="preserve">20000010448</t>
  </si>
  <si>
    <t xml:space="preserve">VALCARCE VALLADOLID, S.A</t>
  </si>
  <si>
    <t xml:space="preserve">ESA24506552</t>
  </si>
  <si>
    <t xml:space="preserve">47493</t>
  </si>
  <si>
    <t xml:space="preserve">AUTOVIA A-6 SALIDA 147</t>
  </si>
  <si>
    <t xml:space="preserve">SAN VICENTE DEL PALACIO</t>
  </si>
  <si>
    <t xml:space="preserve">983481015</t>
  </si>
  <si>
    <t xml:space="preserve">4000010448</t>
  </si>
  <si>
    <t xml:space="preserve">__import__.res_partner_20000010449</t>
  </si>
  <si>
    <t xml:space="preserve">20000010449</t>
  </si>
  <si>
    <t xml:space="preserve">VERDADEIRA ODISSEIA Lda.</t>
  </si>
  <si>
    <t xml:space="preserve">PT508425468</t>
  </si>
  <si>
    <t xml:space="preserve">4150-016</t>
  </si>
  <si>
    <t xml:space="preserve">RUA ALFONSO BALDAIA 326 4ºDT</t>
  </si>
  <si>
    <t xml:space="preserve">00351226105112</t>
  </si>
  <si>
    <t xml:space="preserve">PT50001800031772364402071</t>
  </si>
  <si>
    <t xml:space="preserve">VEO</t>
  </si>
  <si>
    <t xml:space="preserve">4000010449</t>
  </si>
  <si>
    <t xml:space="preserve">__import__.res_partner_20000010450</t>
  </si>
  <si>
    <t xml:space="preserve">20000010450</t>
  </si>
  <si>
    <t xml:space="preserve">SANFER SALCEDA S.COOP. GALEGA</t>
  </si>
  <si>
    <t xml:space="preserve">ESF94185170</t>
  </si>
  <si>
    <t xml:space="preserve">36470</t>
  </si>
  <si>
    <t xml:space="preserve">RUA RAFAEL TILVE ADRIO 9</t>
  </si>
  <si>
    <t xml:space="preserve">986347241</t>
  </si>
  <si>
    <t xml:space="preserve">4000010450</t>
  </si>
  <si>
    <t xml:space="preserve">__import__.res_partner_20000010451</t>
  </si>
  <si>
    <t xml:space="preserve">20000010451</t>
  </si>
  <si>
    <t xml:space="preserve">SOLRED, S.A</t>
  </si>
  <si>
    <t xml:space="preserve">ESA79707345</t>
  </si>
  <si>
    <t xml:space="preserve">C/MENDEZ ALVARO 44</t>
  </si>
  <si>
    <t xml:space="preserve">902136137</t>
  </si>
  <si>
    <t xml:space="preserve">4000010451</t>
  </si>
  <si>
    <t xml:space="preserve">https://www.repsol.es/autonomos-y-empresas/area-privada/
contabilidade
#Dous.2011
https://misolred.repsol.com/
</t>
  </si>
  <si>
    <t xml:space="preserve">__import__.res_partner_20000010452</t>
  </si>
  <si>
    <t xml:space="preserve">20000010452</t>
  </si>
  <si>
    <t xml:space="preserve">FERRETERIA BEROVAZ, S.L.</t>
  </si>
  <si>
    <t xml:space="preserve">ESB27790922</t>
  </si>
  <si>
    <t xml:space="preserve">C/ PIO XII 6 BAJO</t>
  </si>
  <si>
    <t xml:space="preserve">886 127 335</t>
  </si>
  <si>
    <t xml:space="preserve">4000010452</t>
  </si>
  <si>
    <t xml:space="preserve">__import__.res_partner_20000010453</t>
  </si>
  <si>
    <t xml:space="preserve">20000010453</t>
  </si>
  <si>
    <t xml:space="preserve">VALENTIN LEDO SOUSA</t>
  </si>
  <si>
    <t xml:space="preserve">ES36148219Q</t>
  </si>
  <si>
    <t xml:space="preserve">C/ RAMON NIETO Nº 220 3ºC</t>
  </si>
  <si>
    <t xml:space="preserve">627 555 645</t>
  </si>
  <si>
    <t xml:space="preserve">4000010453</t>
  </si>
  <si>
    <t xml:space="preserve">__import__.res_partner_20000010454</t>
  </si>
  <si>
    <t xml:space="preserve">20000010454</t>
  </si>
  <si>
    <t xml:space="preserve">OSCAR GREGORES RIAL</t>
  </si>
  <si>
    <t xml:space="preserve">ES77006968R</t>
  </si>
  <si>
    <t xml:space="preserve">36869</t>
  </si>
  <si>
    <t xml:space="preserve">C/ AREA PEITEIROS 24A </t>
  </si>
  <si>
    <t xml:space="preserve">4000010454</t>
  </si>
  <si>
    <t xml:space="preserve">__import__.res_partner_20000010455</t>
  </si>
  <si>
    <t xml:space="preserve">20000010455</t>
  </si>
  <si>
    <t xml:space="preserve">CAMPUS IBERIA, S.L.</t>
  </si>
  <si>
    <t xml:space="preserve">ESB13310016</t>
  </si>
  <si>
    <t xml:space="preserve">13600</t>
  </si>
  <si>
    <t xml:space="preserve">AVDA.LOS VINOS PARC.68 ALCES </t>
  </si>
  <si>
    <t xml:space="preserve">ALCAZAR DE SAN JUAN </t>
  </si>
  <si>
    <t xml:space="preserve">santiago.morono@campusbrands.es</t>
  </si>
  <si>
    <t xml:space="preserve">926550685</t>
  </si>
  <si>
    <t xml:space="preserve">MAKROPAPER </t>
  </si>
  <si>
    <t xml:space="preserve">4000010455</t>
  </si>
  <si>
    <t xml:space="preserve">carlin@doustrazos.com
Urehydg3</t>
  </si>
  <si>
    <t xml:space="preserve">__import__.res_partner_20000010457</t>
  </si>
  <si>
    <t xml:space="preserve">20000010457</t>
  </si>
  <si>
    <t xml:space="preserve">KHALIL JABASANI CAÑIZARES</t>
  </si>
  <si>
    <t xml:space="preserve">ES47530553H</t>
  </si>
  <si>
    <t xml:space="preserve">LUGAR DE SESTEIRO S/N</t>
  </si>
  <si>
    <t xml:space="preserve">ocanastro2019@gmail.com</t>
  </si>
  <si>
    <t xml:space="preserve">O CANASTRO</t>
  </si>
  <si>
    <t xml:space="preserve">4000010457</t>
  </si>
  <si>
    <t xml:space="preserve">__import__.res_partner_20000010458</t>
  </si>
  <si>
    <t xml:space="preserve">20000010458</t>
  </si>
  <si>
    <t xml:space="preserve">ENERGIA LIBRE COMERCIALIZADORA, S.L.U</t>
  </si>
  <si>
    <t xml:space="preserve">ESB90137316</t>
  </si>
  <si>
    <t xml:space="preserve">41013</t>
  </si>
  <si>
    <t xml:space="preserve">AVDA DIEGO MARTINEZ BARRIO 10 2 </t>
  </si>
  <si>
    <t xml:space="preserve">SEVILLA</t>
  </si>
  <si>
    <t xml:space="preserve">YALUZ!</t>
  </si>
  <si>
    <t xml:space="preserve">4000010458</t>
  </si>
  <si>
    <t xml:space="preserve">__import__.res_partner_20000010461</t>
  </si>
  <si>
    <t xml:space="preserve">20000010461</t>
  </si>
  <si>
    <t xml:space="preserve">LA VOZ DE GALICIA, S.A</t>
  </si>
  <si>
    <t xml:space="preserve">ESA15000649</t>
  </si>
  <si>
    <t xml:space="preserve">15143</t>
  </si>
  <si>
    <t xml:space="preserve">RONDA DE OUTEIRO 1-3 BAJO</t>
  </si>
  <si>
    <t xml:space="preserve">ARTEIXO</t>
  </si>
  <si>
    <t xml:space="preserve">981 180 093</t>
  </si>
  <si>
    <t xml:space="preserve">4000010461</t>
  </si>
  <si>
    <t xml:space="preserve">__import__.res_partner_20000010463</t>
  </si>
  <si>
    <t xml:space="preserve">20000010463</t>
  </si>
  <si>
    <t xml:space="preserve">EMBALAJES COSTAVELLA, S.L.</t>
  </si>
  <si>
    <t xml:space="preserve">ESB70569595</t>
  </si>
  <si>
    <t xml:space="preserve">15707</t>
  </si>
  <si>
    <t xml:space="preserve">RUA POLONIA 35 - POLIGONO COSTA VELLA</t>
  </si>
  <si>
    <t xml:space="preserve">pedidos@costavellaembalajes.com</t>
  </si>
  <si>
    <t xml:space="preserve">981 89 29 96</t>
  </si>
  <si>
    <t xml:space="preserve">4000010463</t>
  </si>
  <si>
    <t xml:space="preserve">__import__.res_partner_20000010468</t>
  </si>
  <si>
    <t xml:space="preserve">20000010468</t>
  </si>
  <si>
    <t xml:space="preserve">SNAPPET ESPAÑA, S.L.</t>
  </si>
  <si>
    <t xml:space="preserve">ESB86877800</t>
  </si>
  <si>
    <t xml:space="preserve">28001</t>
  </si>
  <si>
    <t xml:space="preserve">VELAZQUEZ, 9 1ºIZQ.</t>
  </si>
  <si>
    <t xml:space="preserve">facturas@snappet.es</t>
  </si>
  <si>
    <t xml:space="preserve">914 896 694</t>
  </si>
  <si>
    <t xml:space="preserve">ES2600810575710001180525</t>
  </si>
  <si>
    <t xml:space="preserve">SNAPPET</t>
  </si>
  <si>
    <t xml:space="preserve">4000010468</t>
  </si>
  <si>
    <t xml:space="preserve">__import__.res_partner_20000010469</t>
  </si>
  <si>
    <t xml:space="preserve">20000010469</t>
  </si>
  <si>
    <t xml:space="preserve">EDICIONES DEUSTO S.A.</t>
  </si>
  <si>
    <t xml:space="preserve">ESA48028930</t>
  </si>
  <si>
    <t xml:space="preserve">48860</t>
  </si>
  <si>
    <t xml:space="preserve">P.I ARETXAGA 1 BARRIO GALLARDI</t>
  </si>
  <si>
    <t xml:space="preserve">ZALLA</t>
  </si>
  <si>
    <t xml:space="preserve">INFO@EDEUSTO.ES</t>
  </si>
  <si>
    <t xml:space="preserve">902242324</t>
  </si>
  <si>
    <t xml:space="preserve">EDICIONES DEUSTO </t>
  </si>
  <si>
    <t xml:space="preserve">4000010469</t>
  </si>
  <si>
    <t xml:space="preserve">__import__.res_partner_20000010470</t>
  </si>
  <si>
    <t xml:space="preserve">20000010470</t>
  </si>
  <si>
    <t xml:space="preserve">GRUPO MOQUEPLAST ONLINE, S.L.</t>
  </si>
  <si>
    <t xml:space="preserve">ESB90252305</t>
  </si>
  <si>
    <t xml:space="preserve">LA INDUSTRIA, 3 - P.I. LOS GIRASOLES</t>
  </si>
  <si>
    <t xml:space="preserve">MOQUEPLAST MOQUEMBALA</t>
  </si>
  <si>
    <t xml:space="preserve">4000010470</t>
  </si>
  <si>
    <t xml:space="preserve">__import__.res_partner_20000010472</t>
  </si>
  <si>
    <t xml:space="preserve">20000010472</t>
  </si>
  <si>
    <t xml:space="preserve">CABLEMATIC DOS MIL, S.L.U</t>
  </si>
  <si>
    <t xml:space="preserve">ESB62231261</t>
  </si>
  <si>
    <t xml:space="preserve">SANTANDER, 61</t>
  </si>
  <si>
    <t xml:space="preserve">INFO@CABLEMATIC.COM</t>
  </si>
  <si>
    <t xml:space="preserve">934 987 113</t>
  </si>
  <si>
    <t xml:space="preserve">4000010472</t>
  </si>
  <si>
    <t xml:space="preserve">usuario: info@doustrazos.com
chave: #Dous2011</t>
  </si>
  <si>
    <t xml:space="preserve">__import__.res_partner_20000010474</t>
  </si>
  <si>
    <t xml:space="preserve">20000010474</t>
  </si>
  <si>
    <t xml:space="preserve">SUMINISTROS BURYMAR, S.L.</t>
  </si>
  <si>
    <t xml:space="preserve">ESB94041571</t>
  </si>
  <si>
    <t xml:space="preserve">CL. HERMANOS MARISTAS 34 - BJ</t>
  </si>
  <si>
    <t xml:space="preserve">4000010474</t>
  </si>
  <si>
    <t xml:space="preserve">__import__.res_partner_20000010475</t>
  </si>
  <si>
    <t xml:space="preserve">20000010475</t>
  </si>
  <si>
    <t xml:space="preserve">CLAUDIO CABALEIRO ESTEVEZ</t>
  </si>
  <si>
    <t xml:space="preserve">ES77001876S</t>
  </si>
  <si>
    <t xml:space="preserve">RÚA JOSE REGOJO 17</t>
  </si>
  <si>
    <t xml:space="preserve">4000010475</t>
  </si>
  <si>
    <t xml:space="preserve">__import__.res_partner_20000010476</t>
  </si>
  <si>
    <t xml:space="preserve">20000010476</t>
  </si>
  <si>
    <t xml:space="preserve">SISTEMAS ARRANZ GONZALEZ, S.L. (SAG)</t>
  </si>
  <si>
    <t xml:space="preserve">ESB28406163</t>
  </si>
  <si>
    <t xml:space="preserve">PORTUGAL, 7 NAVE 21</t>
  </si>
  <si>
    <t xml:space="preserve">MEJORADA DEL CAMPO</t>
  </si>
  <si>
    <t xml:space="preserve">SAG@SAG-SL.ES</t>
  </si>
  <si>
    <t xml:space="preserve">916 791 211</t>
  </si>
  <si>
    <t xml:space="preserve">SAG</t>
  </si>
  <si>
    <t xml:space="preserve">4000010476</t>
  </si>
  <si>
    <t xml:space="preserve">__import__.res_partner_20000010481</t>
  </si>
  <si>
    <t xml:space="preserve">20000010481</t>
  </si>
  <si>
    <t xml:space="preserve">SISTEMAS IND. EUROPEOS, S.L.</t>
  </si>
  <si>
    <t xml:space="preserve">ESB81393704</t>
  </si>
  <si>
    <t xml:space="preserve">28983</t>
  </si>
  <si>
    <t xml:space="preserve">LONDRES 10-12 P.I DE PARLA</t>
  </si>
  <si>
    <t xml:space="preserve">PARLA</t>
  </si>
  <si>
    <t xml:space="preserve">daniel.granell@sie-sl.com</t>
  </si>
  <si>
    <t xml:space="preserve">91 698 43 53</t>
  </si>
  <si>
    <t xml:space="preserve">SIE</t>
  </si>
  <si>
    <t xml:space="preserve">4000010481</t>
  </si>
  <si>
    <t xml:space="preserve">Pedido mínimo para servicio: 75€
Pedido mínimo portes pagados: 300
Si no llegamos a pedido mínimo para portes, dar referencias para que nos valoren el porte. 
DTO: 45%
</t>
  </si>
  <si>
    <t xml:space="preserve">__import__.res_partner_20000010482</t>
  </si>
  <si>
    <t xml:space="preserve">20000010482</t>
  </si>
  <si>
    <t xml:space="preserve">STAROIL PORRIÑO, S.L.</t>
  </si>
  <si>
    <t xml:space="preserve">ESB27814078</t>
  </si>
  <si>
    <t xml:space="preserve">P.I A GRANXA PORRIÑO</t>
  </si>
  <si>
    <t xml:space="preserve">4000010482</t>
  </si>
  <si>
    <t xml:space="preserve">__import__.res_partner_20000010483</t>
  </si>
  <si>
    <t xml:space="preserve">20000010483</t>
  </si>
  <si>
    <t xml:space="preserve">SENNEL DISTRIBUTION S.L.</t>
  </si>
  <si>
    <t xml:space="preserve">ESB88147277</t>
  </si>
  <si>
    <t xml:space="preserve">28013</t>
  </si>
  <si>
    <t xml:space="preserve">CL. LEGANITOS, 45</t>
  </si>
  <si>
    <t xml:space="preserve">agafuentes@yahoo.es</t>
  </si>
  <si>
    <t xml:space="preserve">678433911</t>
  </si>
  <si>
    <t xml:space="preserve">SENNEL</t>
  </si>
  <si>
    <t xml:space="preserve">4000010483</t>
  </si>
  <si>
    <t xml:space="preserve">__import__.res_partner_20000010484</t>
  </si>
  <si>
    <t xml:space="preserve">20000010484</t>
  </si>
  <si>
    <t xml:space="preserve">SOCIEDAD GENERAL DE AUTORES Y EDITORES</t>
  </si>
  <si>
    <t xml:space="preserve">ESG28029643</t>
  </si>
  <si>
    <t xml:space="preserve">CL. FERNANDO VI Nº4</t>
  </si>
  <si>
    <t xml:space="preserve">SGAE</t>
  </si>
  <si>
    <t xml:space="preserve">4000010484</t>
  </si>
  <si>
    <t xml:space="preserve">__import__.res_partner_20000010486</t>
  </si>
  <si>
    <t xml:space="preserve">20000010486</t>
  </si>
  <si>
    <t xml:space="preserve">ASOCIACION SOLIDARIDADE GALEGA CO POBO SAHARAUI</t>
  </si>
  <si>
    <t xml:space="preserve">ESG15924558</t>
  </si>
  <si>
    <t xml:space="preserve">ALCALDE GREGORIO ESPINO 57 BAJO</t>
  </si>
  <si>
    <t xml:space="preserve">asociacionsogaps@yahoo.es</t>
  </si>
  <si>
    <t xml:space="preserve">986 262637</t>
  </si>
  <si>
    <t xml:space="preserve">ASOCIACION SAHARAUI</t>
  </si>
  <si>
    <t xml:space="preserve">4000010486</t>
  </si>
  <si>
    <t xml:space="preserve">__import__.res_partner_20000010488</t>
  </si>
  <si>
    <t xml:space="preserve">20000010488</t>
  </si>
  <si>
    <t xml:space="preserve">LA CORTINA INSTALACIONES S.L.</t>
  </si>
  <si>
    <t xml:space="preserve">ESB49211493</t>
  </si>
  <si>
    <t xml:space="preserve">49030</t>
  </si>
  <si>
    <t xml:space="preserve">ARGENTINA, 12</t>
  </si>
  <si>
    <t xml:space="preserve">ZAMORA</t>
  </si>
  <si>
    <t xml:space="preserve">lacortina@la-cortina.com</t>
  </si>
  <si>
    <t xml:space="preserve">980 521 211</t>
  </si>
  <si>
    <t xml:space="preserve">ES8830850011172025381027</t>
  </si>
  <si>
    <t xml:space="preserve">LA CORTINA</t>
  </si>
  <si>
    <t xml:space="preserve">4000010488</t>
  </si>
  <si>
    <t xml:space="preserve">__import__.res_partner_20000010489</t>
  </si>
  <si>
    <t xml:space="preserve">20000010489</t>
  </si>
  <si>
    <t xml:space="preserve">ENRIQUE RUBIO POLO, S.L.U</t>
  </si>
  <si>
    <t xml:space="preserve">ESB97643308</t>
  </si>
  <si>
    <t xml:space="preserve">46005</t>
  </si>
  <si>
    <t xml:space="preserve">GRAN VIA MARQUES DEL TURIA, 2 19ª</t>
  </si>
  <si>
    <t xml:space="preserve">VALENCIA </t>
  </si>
  <si>
    <t xml:space="preserve">pedidos@rubio.net</t>
  </si>
  <si>
    <t xml:space="preserve">963 958 591</t>
  </si>
  <si>
    <t xml:space="preserve">4000010489</t>
  </si>
  <si>
    <t xml:space="preserve">__import__.res_partner_20000010490</t>
  </si>
  <si>
    <t xml:space="preserve">20000010490</t>
  </si>
  <si>
    <t xml:space="preserve">ORANGE ESPAGNE, S.A.U</t>
  </si>
  <si>
    <t xml:space="preserve">ESA82009812</t>
  </si>
  <si>
    <t xml:space="preserve">28223</t>
  </si>
  <si>
    <t xml:space="preserve">PQ. EMP. LA FINCA </t>
  </si>
  <si>
    <t xml:space="preserve">Pº DEL CLLUB DEPORTIVO 1, EDIF. 8</t>
  </si>
  <si>
    <t xml:space="preserve">POZUELO DE ALARCON</t>
  </si>
  <si>
    <t xml:space="preserve">1471</t>
  </si>
  <si>
    <t xml:space="preserve">4000010490</t>
  </si>
  <si>
    <t xml:space="preserve">__import__.res_partner_20000010493</t>
  </si>
  <si>
    <t xml:space="preserve">20000010493</t>
  </si>
  <si>
    <t xml:space="preserve">SANY BAGS S.L.</t>
  </si>
  <si>
    <t xml:space="preserve">ESB54534524</t>
  </si>
  <si>
    <t xml:space="preserve">03610</t>
  </si>
  <si>
    <t xml:space="preserve">PG LES PEDRERES, C/APARADORAS 3</t>
  </si>
  <si>
    <t xml:space="preserve">PETRER</t>
  </si>
  <si>
    <t xml:space="preserve">966 299 139</t>
  </si>
  <si>
    <t xml:space="preserve">AZZAR </t>
  </si>
  <si>
    <t xml:space="preserve">4000010493</t>
  </si>
  <si>
    <t xml:space="preserve">__import__.res_partner_20000010494</t>
  </si>
  <si>
    <t xml:space="preserve">20000010494</t>
  </si>
  <si>
    <t xml:space="preserve">ALMA E CORAXE S.L.L.</t>
  </si>
  <si>
    <t xml:space="preserve">ESB27818426</t>
  </si>
  <si>
    <t xml:space="preserve">PADRE CELSO 3. BAIXO</t>
  </si>
  <si>
    <t xml:space="preserve">evaanimosa@gmail.com</t>
  </si>
  <si>
    <t xml:space="preserve">986 175 760</t>
  </si>
  <si>
    <t xml:space="preserve">ANIMOSA</t>
  </si>
  <si>
    <t xml:space="preserve">4000010494</t>
  </si>
  <si>
    <t xml:space="preserve">__import__.res_partner_20000010495</t>
  </si>
  <si>
    <t xml:space="preserve">20000010495</t>
  </si>
  <si>
    <t xml:space="preserve">CREATIVE STORY S.L.</t>
  </si>
  <si>
    <t xml:space="preserve">ESB59914747</t>
  </si>
  <si>
    <t xml:space="preserve">AVDA MONTEBOYAL 45</t>
  </si>
  <si>
    <t xml:space="preserve">CASARRUBIOS DEL MONTE</t>
  </si>
  <si>
    <t xml:space="preserve">918188256</t>
  </si>
  <si>
    <t xml:space="preserve">LOVELY STORY</t>
  </si>
  <si>
    <t xml:space="preserve">4000010495</t>
  </si>
  <si>
    <t xml:space="preserve">__import__.res_partner_20000010496</t>
  </si>
  <si>
    <t xml:space="preserve">20000010496</t>
  </si>
  <si>
    <t xml:space="preserve">GUIALMI-EMPRESA DE MÓVEIS METALICOS S.A.</t>
  </si>
  <si>
    <t xml:space="preserve">PT500131716</t>
  </si>
  <si>
    <t xml:space="preserve">3754-908</t>
  </si>
  <si>
    <t xml:space="preserve">APARTADO 1</t>
  </si>
  <si>
    <t xml:space="preserve">AGUADA DE CIMA - AGUEDA</t>
  </si>
  <si>
    <t xml:space="preserve">jl@onoffsc.com</t>
  </si>
  <si>
    <t xml:space="preserve">00351234660600</t>
  </si>
  <si>
    <t xml:space="preserve">ES8801318818872722000987</t>
  </si>
  <si>
    <t xml:space="preserve">GUIALMI</t>
  </si>
  <si>
    <t xml:space="preserve">4000010496</t>
  </si>
  <si>
    <r>
      <rPr>
        <sz val="11"/>
        <color rgb="FF000000"/>
        <rFont val="Calibri"/>
        <family val="2"/>
        <charset val="1"/>
      </rPr>
      <t xml:space="preserve">29/04/25: Tarifa actualizada 2023 no aplicar incremento
</t>
    </r>
    <r>
      <rPr>
        <sz val="10"/>
        <color rgb="FF000000"/>
        <rFont val="Arial"/>
        <family val="2"/>
        <charset val="1"/>
      </rPr>
      <t xml:space="preserve">26/02/25: No cobran portes</t>
    </r>
  </si>
  <si>
    <t xml:space="preserve">__import__.res_partner_20000010497</t>
  </si>
  <si>
    <t xml:space="preserve">20000010497</t>
  </si>
  <si>
    <t xml:space="preserve">ETIQUETAS GRAFICAS SUR DE GALICIA S.L.</t>
  </si>
  <si>
    <t xml:space="preserve">ESB27841758</t>
  </si>
  <si>
    <t xml:space="preserve">LUGAR DE AMIEIROLONGO NVE 9 KM. 154</t>
  </si>
  <si>
    <t xml:space="preserve">SANGUIÑEDA-MOS</t>
  </si>
  <si>
    <t xml:space="preserve">etysur@etysur.com</t>
  </si>
  <si>
    <t xml:space="preserve">604 021 943</t>
  </si>
  <si>
    <t xml:space="preserve">ETYSUR</t>
  </si>
  <si>
    <t xml:space="preserve">4000010497</t>
  </si>
  <si>
    <t xml:space="preserve">__import__.res_partner_20000010498</t>
  </si>
  <si>
    <t xml:space="preserve">20000010498</t>
  </si>
  <si>
    <t xml:space="preserve">COMPARTIENDO CONOCIMIENTO, SLU</t>
  </si>
  <si>
    <t xml:space="preserve">ESB24593287</t>
  </si>
  <si>
    <t xml:space="preserve">24404</t>
  </si>
  <si>
    <t xml:space="preserve">MANUEL FRAGA, 20 11P</t>
  </si>
  <si>
    <t xml:space="preserve">PONFERRADA</t>
  </si>
  <si>
    <t xml:space="preserve">josesande@sandeoposiciones.com</t>
  </si>
  <si>
    <t xml:space="preserve">ES6021006260810200118672</t>
  </si>
  <si>
    <t xml:space="preserve">COMPARTIENDO CONOCIMIENTO</t>
  </si>
  <si>
    <t xml:space="preserve">4000010498</t>
  </si>
  <si>
    <t xml:space="preserve">__import__.res_partner_20000010499</t>
  </si>
  <si>
    <t xml:space="preserve">20000010499</t>
  </si>
  <si>
    <t xml:space="preserve">PENSFROMBCN, S.L.</t>
  </si>
  <si>
    <t xml:space="preserve">ESB67423954</t>
  </si>
  <si>
    <t xml:space="preserve">C/ PALLARS 85-91 PLANT 6 Nº4</t>
  </si>
  <si>
    <t xml:space="preserve">932500456</t>
  </si>
  <si>
    <t xml:space="preserve">INOXCROM</t>
  </si>
  <si>
    <t xml:space="preserve">4000010499</t>
  </si>
  <si>
    <t xml:space="preserve">__import__.res_partner_20000010500</t>
  </si>
  <si>
    <t xml:space="preserve">20000010500</t>
  </si>
  <si>
    <t xml:space="preserve">LIN HUA LIN S.L.</t>
  </si>
  <si>
    <t xml:space="preserve">ESB27814235</t>
  </si>
  <si>
    <t xml:space="preserve">CRA PORRIÑO SALCEDA KM.5</t>
  </si>
  <si>
    <t xml:space="preserve">ATIOS- O PORRIÑO</t>
  </si>
  <si>
    <t xml:space="preserve">888</t>
  </si>
  <si>
    <t xml:space="preserve">4000010500</t>
  </si>
  <si>
    <t xml:space="preserve">__import__.res_partner_20000010501</t>
  </si>
  <si>
    <t xml:space="preserve">20000010501</t>
  </si>
  <si>
    <t xml:space="preserve">BRINDE&amp;COMPANHIA BESTOFGIFTS.LDA</t>
  </si>
  <si>
    <t xml:space="preserve">PT504807854</t>
  </si>
  <si>
    <t xml:space="preserve">4780-321</t>
  </si>
  <si>
    <t xml:space="preserve">ZONA INDUSTRIAL DA POUPA 2 RUA B Nº92</t>
  </si>
  <si>
    <t xml:space="preserve">STO TIRSO</t>
  </si>
  <si>
    <t xml:space="preserve">info@brinde-companhia.pt</t>
  </si>
  <si>
    <t xml:space="preserve">00351252860330</t>
  </si>
  <si>
    <t xml:space="preserve">BRINDE</t>
  </si>
  <si>
    <t xml:space="preserve">4000010501</t>
  </si>
  <si>
    <t xml:space="preserve">__import__.res_partner_20000010502</t>
  </si>
  <si>
    <t xml:space="preserve">20000010502</t>
  </si>
  <si>
    <t xml:space="preserve">MEGA CHINO, S.L.</t>
  </si>
  <si>
    <t xml:space="preserve">ESB27828623</t>
  </si>
  <si>
    <t xml:space="preserve">CRTA PORRIÑO - REDONDELA 79</t>
  </si>
  <si>
    <t xml:space="preserve">4000010502</t>
  </si>
  <si>
    <t xml:space="preserve">__import__.res_partner_20000010503</t>
  </si>
  <si>
    <t xml:space="preserve">20000010503</t>
  </si>
  <si>
    <t xml:space="preserve">HORMIGONES DE PORRIÑO, S.A.</t>
  </si>
  <si>
    <t xml:space="preserve">ESA36024701</t>
  </si>
  <si>
    <t xml:space="preserve">CRTA SALCEDA S/N</t>
  </si>
  <si>
    <t xml:space="preserve">ATIOS</t>
  </si>
  <si>
    <t xml:space="preserve">986332553</t>
  </si>
  <si>
    <t xml:space="preserve">ESTACION SERVICIO HORPOSA</t>
  </si>
  <si>
    <t xml:space="preserve">4000010503</t>
  </si>
  <si>
    <t xml:space="preserve">__import__.res_partner_20000010504</t>
  </si>
  <si>
    <t xml:space="preserve">20000010504</t>
  </si>
  <si>
    <t xml:space="preserve">VEINTISIE7E MULTIMEDIA, S.L.</t>
  </si>
  <si>
    <t xml:space="preserve">ESB70418066</t>
  </si>
  <si>
    <t xml:space="preserve">15210</t>
  </si>
  <si>
    <t xml:space="preserve">LG PONTE 27</t>
  </si>
  <si>
    <t xml:space="preserve">davidbello@veintisie7e.es</t>
  </si>
  <si>
    <t xml:space="preserve">627 522 636</t>
  </si>
  <si>
    <t xml:space="preserve">4000010504</t>
  </si>
  <si>
    <t xml:space="preserve">__import__.res_partner_20000010505</t>
  </si>
  <si>
    <t xml:space="preserve">20000010505</t>
  </si>
  <si>
    <t xml:space="preserve">DACOSTA AUTOCASION, S.L.</t>
  </si>
  <si>
    <t xml:space="preserve">ESB27809813</t>
  </si>
  <si>
    <t xml:space="preserve">CRTA PORRIÑO - TUI ATIOS EIDOS 22</t>
  </si>
  <si>
    <t xml:space="preserve">dacostaocasion@hotmail.com</t>
  </si>
  <si>
    <t xml:space="preserve">986 333 580</t>
  </si>
  <si>
    <t xml:space="preserve">4000010505</t>
  </si>
  <si>
    <t xml:space="preserve">__import__.res_partner_20000010506</t>
  </si>
  <si>
    <t xml:space="preserve">20000010506</t>
  </si>
  <si>
    <t xml:space="preserve">KEBEL LOGISTICS, S.L.</t>
  </si>
  <si>
    <t xml:space="preserve">ESB67491309</t>
  </si>
  <si>
    <t xml:space="preserve">P.I A GRANXA - EDIFICIO CIE OFICINA 209</t>
  </si>
  <si>
    <t xml:space="preserve">886035210</t>
  </si>
  <si>
    <t xml:space="preserve">4000010506</t>
  </si>
  <si>
    <t xml:space="preserve">__import__.res_partner_20000010507</t>
  </si>
  <si>
    <t xml:space="preserve">20000010507</t>
  </si>
  <si>
    <t xml:space="preserve">TRACTIMAN S.A.</t>
  </si>
  <si>
    <t xml:space="preserve">ESA78485257</t>
  </si>
  <si>
    <t xml:space="preserve">POL. IND. ARROYOMOLINOS Nº 1</t>
  </si>
  <si>
    <t xml:space="preserve">C/MARCELINO CAMACHO Nº 37</t>
  </si>
  <si>
    <t xml:space="preserve">91 647 49 81</t>
  </si>
  <si>
    <t xml:space="preserve">TAKENOTES</t>
  </si>
  <si>
    <t xml:space="preserve">4000010507</t>
  </si>
  <si>
    <t xml:space="preserve">__import__.res_partner_20000010508</t>
  </si>
  <si>
    <t xml:space="preserve">20000010508</t>
  </si>
  <si>
    <t xml:space="preserve">JUNGHEINRICH DE ESPAÑA, S.A.U</t>
  </si>
  <si>
    <t xml:space="preserve">ESA48002430</t>
  </si>
  <si>
    <t xml:space="preserve">08630</t>
  </si>
  <si>
    <t xml:space="preserve">P.I EL BARCELONES C/HOSTAL DEL PI 9</t>
  </si>
  <si>
    <t xml:space="preserve">ABRERA</t>
  </si>
  <si>
    <t xml:space="preserve">4000010508</t>
  </si>
  <si>
    <t xml:space="preserve">__import__.res_partner_20000010509</t>
  </si>
  <si>
    <t xml:space="preserve">20000010509</t>
  </si>
  <si>
    <t xml:space="preserve">E..S OTAMAR, S.L.</t>
  </si>
  <si>
    <t xml:space="preserve">ESB36009009</t>
  </si>
  <si>
    <t xml:space="preserve">AVDA PORTUGAL S/N </t>
  </si>
  <si>
    <t xml:space="preserve">otamarsl@gmail.com</t>
  </si>
  <si>
    <t xml:space="preserve">986 60 10 19</t>
  </si>
  <si>
    <t xml:space="preserve">4000010509</t>
  </si>
  <si>
    <t xml:space="preserve">__import__.res_partner_20000010510</t>
  </si>
  <si>
    <t xml:space="preserve">20000010510</t>
  </si>
  <si>
    <t xml:space="preserve">WDIXITAL SPAIN, S.L.</t>
  </si>
  <si>
    <t xml:space="preserve">ESB27740240</t>
  </si>
  <si>
    <t xml:space="preserve">CL. URZAIZ 77 BJ</t>
  </si>
  <si>
    <t xml:space="preserve">info@wdixital.com</t>
  </si>
  <si>
    <t xml:space="preserve">986 23 24 26</t>
  </si>
  <si>
    <t xml:space="preserve">4000010510</t>
  </si>
  <si>
    <t xml:space="preserve">__import__.res_partner_20000010511</t>
  </si>
  <si>
    <t xml:space="preserve">20000010511</t>
  </si>
  <si>
    <t xml:space="preserve">IRENE CALZADO GONZALEZ</t>
  </si>
  <si>
    <t xml:space="preserve">ES35566890N</t>
  </si>
  <si>
    <t xml:space="preserve">RUA FOXO 14 - BJ</t>
  </si>
  <si>
    <t xml:space="preserve">986 60 40 03</t>
  </si>
  <si>
    <t xml:space="preserve">IMOS PUBLICIDADE</t>
  </si>
  <si>
    <t xml:space="preserve">4000010511</t>
  </si>
  <si>
    <t xml:space="preserve">__import__.res_partner_20000010512</t>
  </si>
  <si>
    <t xml:space="preserve">20000010512</t>
  </si>
  <si>
    <t xml:space="preserve">MERCATONER SPAIN, S.L.</t>
  </si>
  <si>
    <t xml:space="preserve">ESB90185158</t>
  </si>
  <si>
    <t xml:space="preserve">41840</t>
  </si>
  <si>
    <t xml:space="preserve">P.I PILASUR C/MAIRENA DE ALJARAFE 3-5</t>
  </si>
  <si>
    <t xml:space="preserve">PILAS</t>
  </si>
  <si>
    <t xml:space="preserve">web@mercatoner.es</t>
  </si>
  <si>
    <t xml:space="preserve">955078503</t>
  </si>
  <si>
    <t xml:space="preserve">4000010512</t>
  </si>
  <si>
    <t xml:space="preserve">jmpereira@carlin.cash
00002881</t>
  </si>
  <si>
    <t xml:space="preserve">__import__.res_partner_20000010514</t>
  </si>
  <si>
    <t xml:space="preserve">20000010514</t>
  </si>
  <si>
    <t xml:space="preserve">FORLETTER, S.A</t>
  </si>
  <si>
    <t xml:space="preserve">ESA83301978</t>
  </si>
  <si>
    <t xml:space="preserve">28026</t>
  </si>
  <si>
    <t xml:space="preserve">ANTONIO LOPEZ 216 1º</t>
  </si>
  <si>
    <t xml:space="preserve">915000644</t>
  </si>
  <si>
    <t xml:space="preserve">4000010514</t>
  </si>
  <si>
    <t xml:space="preserve">__import__.res_partner_20000010516</t>
  </si>
  <si>
    <t xml:space="preserve">20000010516</t>
  </si>
  <si>
    <t xml:space="preserve">TRAÇOS E LIMITES, UNIPESSONAL LDA</t>
  </si>
  <si>
    <t xml:space="preserve">PT513541195</t>
  </si>
  <si>
    <t xml:space="preserve">4950-279</t>
  </si>
  <si>
    <t xml:space="preserve">RUA DA VEIGA 18- VEIGA</t>
  </si>
  <si>
    <t xml:space="preserve">MONCAO</t>
  </si>
  <si>
    <t xml:space="preserve">tcruz@netic.io</t>
  </si>
  <si>
    <t xml:space="preserve">00351251030040</t>
  </si>
  <si>
    <t xml:space="preserve">NETIC.IO</t>
  </si>
  <si>
    <t xml:space="preserve">4000010516</t>
  </si>
  <si>
    <t xml:space="preserve">__import__.res_partner_20000010517</t>
  </si>
  <si>
    <t xml:space="preserve">20000010517</t>
  </si>
  <si>
    <t xml:space="preserve">TRANSCELAVENTE, S.L.U</t>
  </si>
  <si>
    <t xml:space="preserve">ESB32434292</t>
  </si>
  <si>
    <t xml:space="preserve">32372</t>
  </si>
  <si>
    <t xml:space="preserve">PLAZA A FONTE 114 - CELAVENTE</t>
  </si>
  <si>
    <t xml:space="preserve">O BOLO</t>
  </si>
  <si>
    <t xml:space="preserve">PALET</t>
  </si>
  <si>
    <t xml:space="preserve">4000010517</t>
  </si>
  <si>
    <t xml:space="preserve">__import__.res_partner_20000010518</t>
  </si>
  <si>
    <t xml:space="preserve">20000010518</t>
  </si>
  <si>
    <t xml:space="preserve">SUPERVISION Y CONTROL, S.A.U</t>
  </si>
  <si>
    <t xml:space="preserve">ESA15117609</t>
  </si>
  <si>
    <t xml:space="preserve">15168</t>
  </si>
  <si>
    <t xml:space="preserve">CRTA N-VI KM 582 - O ESPIRITU SANTO</t>
  </si>
  <si>
    <t xml:space="preserve">SYC ITV</t>
  </si>
  <si>
    <t xml:space="preserve">4000010518</t>
  </si>
  <si>
    <t xml:space="preserve">__import__.res_partner_20000010519</t>
  </si>
  <si>
    <t xml:space="preserve">20000010519</t>
  </si>
  <si>
    <t xml:space="preserve">SENSEN YE</t>
  </si>
  <si>
    <t xml:space="preserve">ESX3598922C</t>
  </si>
  <si>
    <t xml:space="preserve">P.I A GRANXA  PARC 259</t>
  </si>
  <si>
    <t xml:space="preserve">4000010519</t>
  </si>
  <si>
    <t xml:space="preserve">__import__.res_partner_20000010520</t>
  </si>
  <si>
    <t xml:space="preserve">20000010520</t>
  </si>
  <si>
    <t xml:space="preserve">FERRETERIA MINO, S.L.</t>
  </si>
  <si>
    <t xml:space="preserve">ESB36181105</t>
  </si>
  <si>
    <t xml:space="preserve">DCTOR ZUNZUNEGUI 24 BJ</t>
  </si>
  <si>
    <t xml:space="preserve">986 349 052</t>
  </si>
  <si>
    <t xml:space="preserve">4000010520</t>
  </si>
  <si>
    <t xml:space="preserve">__import__.res_partner_20000010521</t>
  </si>
  <si>
    <t xml:space="preserve">20000010521</t>
  </si>
  <si>
    <t xml:space="preserve">ELMAT, S.L.</t>
  </si>
  <si>
    <t xml:space="preserve">ESB36878023</t>
  </si>
  <si>
    <t xml:space="preserve">36320</t>
  </si>
  <si>
    <t xml:space="preserve">CAMIÑO DO ESTROBO 8 NAVE 3</t>
  </si>
  <si>
    <t xml:space="preserve">ARGOREN</t>
  </si>
  <si>
    <t xml:space="preserve">CHAPELA</t>
  </si>
  <si>
    <t xml:space="preserve">oficinatecnica@elmat.es</t>
  </si>
  <si>
    <t xml:space="preserve">986 265 058</t>
  </si>
  <si>
    <t xml:space="preserve">ELECTRICIDAD MANTENIMIENTO AUTOMATIZACION</t>
  </si>
  <si>
    <t xml:space="preserve">4000010521</t>
  </si>
  <si>
    <t xml:space="preserve">__import__.res_partner_20000010522</t>
  </si>
  <si>
    <t xml:space="preserve">20000010522</t>
  </si>
  <si>
    <t xml:space="preserve">BARATOIL LA GUARDIA, S.L.</t>
  </si>
  <si>
    <t xml:space="preserve">ESB27859784</t>
  </si>
  <si>
    <t xml:space="preserve">CAMIÑO DOS PENEDOS 5</t>
  </si>
  <si>
    <t xml:space="preserve">986 630 950</t>
  </si>
  <si>
    <t xml:space="preserve">4000010522</t>
  </si>
  <si>
    <t xml:space="preserve">__import__.res_partner_20000010523</t>
  </si>
  <si>
    <t xml:space="preserve">20000010523</t>
  </si>
  <si>
    <t xml:space="preserve">VOZ DE GALICIA RADIO, S.L.U</t>
  </si>
  <si>
    <t xml:space="preserve">ESB15054414</t>
  </si>
  <si>
    <t xml:space="preserve">RONDA DE OUTEIRO 1-3 BJ</t>
  </si>
  <si>
    <t xml:space="preserve">4000010523</t>
  </si>
  <si>
    <t xml:space="preserve">__import__.res_partner_20000010524</t>
  </si>
  <si>
    <t xml:space="preserve">20000010524</t>
  </si>
  <si>
    <t xml:space="preserve">NEW COMPANY MOLINER, S.L.</t>
  </si>
  <si>
    <t xml:space="preserve">ESB94022373</t>
  </si>
  <si>
    <t xml:space="preserve">P.I A GRANXA PARC 66</t>
  </si>
  <si>
    <t xml:space="preserve">986 346 787</t>
  </si>
  <si>
    <t xml:space="preserve">4000010524</t>
  </si>
  <si>
    <t xml:space="preserve">__import__.res_partner_20000010525</t>
  </si>
  <si>
    <t xml:space="preserve">20000010525</t>
  </si>
  <si>
    <t xml:space="preserve">LOG. DE CARB. PETROLIFEROS GROUP, S.L.</t>
  </si>
  <si>
    <t xml:space="preserve">ESB70488572</t>
  </si>
  <si>
    <t xml:space="preserve">AVDA DE LA PLAYA 12 ENTRE</t>
  </si>
  <si>
    <t xml:space="preserve">4000010525</t>
  </si>
  <si>
    <t xml:space="preserve">__import__.res_partner_20000010526</t>
  </si>
  <si>
    <t xml:space="preserve">20000010526</t>
  </si>
  <si>
    <t xml:space="preserve">MADERAS DEL NOROESTE DE ESPAÑA, S.L</t>
  </si>
  <si>
    <t xml:space="preserve">ESB36616548</t>
  </si>
  <si>
    <t xml:space="preserve">RUA XESTEIRA 7</t>
  </si>
  <si>
    <t xml:space="preserve">986 27 55 18</t>
  </si>
  <si>
    <t xml:space="preserve">4000010526</t>
  </si>
  <si>
    <t xml:space="preserve">__import__.res_partner_20000010527</t>
  </si>
  <si>
    <t xml:space="preserve">20000010527</t>
  </si>
  <si>
    <t xml:space="preserve">XESÚS ALFAYA CARRERA</t>
  </si>
  <si>
    <t xml:space="preserve">ES35546919M</t>
  </si>
  <si>
    <t xml:space="preserve">C/ DEL PENEDO 5</t>
  </si>
  <si>
    <t xml:space="preserve">jesus@marcasalfa.com</t>
  </si>
  <si>
    <t xml:space="preserve">699 989 555</t>
  </si>
  <si>
    <t xml:space="preserve">MARCAS ALFA</t>
  </si>
  <si>
    <t xml:space="preserve">4000010527</t>
  </si>
  <si>
    <t xml:space="preserve">__import__.res_partner_20000010528</t>
  </si>
  <si>
    <t xml:space="preserve">20000010528</t>
  </si>
  <si>
    <t xml:space="preserve">INTURASA-PEREZ RUMBAO, S.A</t>
  </si>
  <si>
    <t xml:space="preserve">ESA36122174</t>
  </si>
  <si>
    <t xml:space="preserve">P.I A GRANXA AVDA PRINCIPAL PARC 62-63</t>
  </si>
  <si>
    <t xml:space="preserve">inturasavi@perezrumbao.com</t>
  </si>
  <si>
    <t xml:space="preserve">986 213 470</t>
  </si>
  <si>
    <t xml:space="preserve">4000010528</t>
  </si>
  <si>
    <t xml:space="preserve">__import__.res_partner_20000010529</t>
  </si>
  <si>
    <t xml:space="preserve">20000010529</t>
  </si>
  <si>
    <t xml:space="preserve">SUPER BAZAR HONGFA</t>
  </si>
  <si>
    <t xml:space="preserve">ESX2935410N</t>
  </si>
  <si>
    <t xml:space="preserve">C/FREI LOIS RODRIGUEZ 19 BJ</t>
  </si>
  <si>
    <t xml:space="preserve">4000010529</t>
  </si>
  <si>
    <t xml:space="preserve">__import__.res_partner_20000010531</t>
  </si>
  <si>
    <t xml:space="preserve">20000010531</t>
  </si>
  <si>
    <t xml:space="preserve">MEDIPLUS ATLANTICO S.L.</t>
  </si>
  <si>
    <t xml:space="preserve">ESB27862523</t>
  </si>
  <si>
    <t xml:space="preserve">C/ DA PARADELA, 3 ED. CIE OF. 103</t>
  </si>
  <si>
    <t xml:space="preserve">info@mediplusatlantico.com</t>
  </si>
  <si>
    <t xml:space="preserve">986 135962</t>
  </si>
  <si>
    <t xml:space="preserve">MEDIPLUS</t>
  </si>
  <si>
    <t xml:space="preserve">4000010531</t>
  </si>
  <si>
    <t xml:space="preserve">__import__.res_partner_20000010539</t>
  </si>
  <si>
    <t xml:space="preserve">20000010539</t>
  </si>
  <si>
    <t xml:space="preserve">TINTADECOR, S.L.</t>
  </si>
  <si>
    <t xml:space="preserve">ESB91773614</t>
  </si>
  <si>
    <t xml:space="preserve">41710</t>
  </si>
  <si>
    <t xml:space="preserve">POL. IND. LA MORERA C/ ESQUILADORES 12</t>
  </si>
  <si>
    <t xml:space="preserve">UTRERA</t>
  </si>
  <si>
    <t xml:space="preserve">info@tintadecor.com;belen@tintadecor.com</t>
  </si>
  <si>
    <t xml:space="preserve">955865894</t>
  </si>
  <si>
    <t xml:space="preserve">4000010539</t>
  </si>
  <si>
    <t xml:space="preserve">__import__.res_partner_20000010540</t>
  </si>
  <si>
    <t xml:space="preserve">20000010540</t>
  </si>
  <si>
    <t xml:space="preserve">7 EDITORES RECURSOS PARA LA CUALIFICACIONPROFESIONAL Y EL EMPLEO, S.L.</t>
  </si>
  <si>
    <t xml:space="preserve">ESB90120734</t>
  </si>
  <si>
    <t xml:space="preserve">41018</t>
  </si>
  <si>
    <t xml:space="preserve">AV. SAN FRANCISCO JAVIER, 9</t>
  </si>
  <si>
    <t xml:space="preserve">ED. SEVILLA 2, PLANTA 11, MODS. 25-27</t>
  </si>
  <si>
    <t xml:space="preserve">pedidos@7editores.com</t>
  </si>
  <si>
    <t xml:space="preserve">954 784 411</t>
  </si>
  <si>
    <t xml:space="preserve">CONTRA REEMBOLSO</t>
  </si>
  <si>
    <t xml:space="preserve">EDITORIAL MAD</t>
  </si>
  <si>
    <t xml:space="preserve">4000010540</t>
  </si>
  <si>
    <t xml:space="preserve">__import__.res_partner_20000010541</t>
  </si>
  <si>
    <t xml:space="preserve">20000010541</t>
  </si>
  <si>
    <t xml:space="preserve">MUNDO PLAN, S.L.</t>
  </si>
  <si>
    <t xml:space="preserve">ESB13108675</t>
  </si>
  <si>
    <t xml:space="preserve">13610</t>
  </si>
  <si>
    <t xml:space="preserve">AVDA CASTILLA LA MANCHA, 15</t>
  </si>
  <si>
    <t xml:space="preserve">CAMPO DE CRIPTANA </t>
  </si>
  <si>
    <t xml:space="preserve">info@mundoplan.es</t>
  </si>
  <si>
    <t xml:space="preserve">926560054</t>
  </si>
  <si>
    <t xml:space="preserve">4000010541</t>
  </si>
  <si>
    <t xml:space="preserve">__import__.res_partner_20000010542</t>
  </si>
  <si>
    <t xml:space="preserve">20000010542</t>
  </si>
  <si>
    <t xml:space="preserve">EOMAIA</t>
  </si>
  <si>
    <t xml:space="preserve">ESG27729326</t>
  </si>
  <si>
    <t xml:space="preserve">LOPEZ MORA, 5 5ºC DER.</t>
  </si>
  <si>
    <t xml:space="preserve">4000010542</t>
  </si>
  <si>
    <t xml:space="preserve">__import__.res_partner_20000010543</t>
  </si>
  <si>
    <t xml:space="preserve">20000010543</t>
  </si>
  <si>
    <t xml:space="preserve">JOSE ANTONIO FERNANDEZ RAIMUNDEZ</t>
  </si>
  <si>
    <t xml:space="preserve">ES33272549J</t>
  </si>
  <si>
    <t xml:space="preserve">RUA DA MARIÑEIRA 22 - AMIO</t>
  </si>
  <si>
    <t xml:space="preserve">info@apluspharma.es</t>
  </si>
  <si>
    <t xml:space="preserve">981 073 327</t>
  </si>
  <si>
    <t xml:space="preserve">A+PHARMA</t>
  </si>
  <si>
    <t xml:space="preserve">4000010543</t>
  </si>
  <si>
    <t xml:space="preserve">__import__.res_partner_20000010545</t>
  </si>
  <si>
    <t xml:space="preserve">20000010545</t>
  </si>
  <si>
    <t xml:space="preserve">CENTRO MEDICO CASELAS, S.L.</t>
  </si>
  <si>
    <t xml:space="preserve">ESB36370575</t>
  </si>
  <si>
    <t xml:space="preserve">C/VICTORIANO PEREZ VIDAL, 29</t>
  </si>
  <si>
    <t xml:space="preserve">986343030</t>
  </si>
  <si>
    <t xml:space="preserve">4000010545</t>
  </si>
  <si>
    <t xml:space="preserve">__import__.res_partner_20000010546</t>
  </si>
  <si>
    <t xml:space="preserve">20000010546</t>
  </si>
  <si>
    <t xml:space="preserve">FELICIANO FERNANDEZ BESADA</t>
  </si>
  <si>
    <t xml:space="preserve">ES36070173D</t>
  </si>
  <si>
    <t xml:space="preserve">BUDIÑO - EIRIZ 1</t>
  </si>
  <si>
    <t xml:space="preserve">pormain@hotmail.com</t>
  </si>
  <si>
    <t xml:space="preserve">986 346 777</t>
  </si>
  <si>
    <t xml:space="preserve">4000010546</t>
  </si>
  <si>
    <t xml:space="preserve">__import__.res_partner_20000010547</t>
  </si>
  <si>
    <t xml:space="preserve">20000010547</t>
  </si>
  <si>
    <t xml:space="preserve">CIERRE Y MALLAS DEL NOROESTE, S.L.</t>
  </si>
  <si>
    <t xml:space="preserve">ESB94165396</t>
  </si>
  <si>
    <t xml:space="preserve">SAN JORGE 9B - BOUZAVEDRA</t>
  </si>
  <si>
    <t xml:space="preserve">administracion@cimanor.com</t>
  </si>
  <si>
    <t xml:space="preserve">986906043</t>
  </si>
  <si>
    <t xml:space="preserve">4000010547</t>
  </si>
  <si>
    <t xml:space="preserve">__import__.res_partner_20000010548</t>
  </si>
  <si>
    <t xml:space="preserve">20000010548</t>
  </si>
  <si>
    <t xml:space="preserve">FEGOBLAN, S.L.</t>
  </si>
  <si>
    <t xml:space="preserve">ESB36014348</t>
  </si>
  <si>
    <t xml:space="preserve">SANGUIÑEDA, 118</t>
  </si>
  <si>
    <t xml:space="preserve">986330163</t>
  </si>
  <si>
    <t xml:space="preserve">4000010548</t>
  </si>
  <si>
    <t xml:space="preserve">__import__.res_partner_20000010549</t>
  </si>
  <si>
    <t xml:space="preserve">20000010549</t>
  </si>
  <si>
    <t xml:space="preserve">NET &amp; CLAIR ESPAÑA, S.C</t>
  </si>
  <si>
    <t xml:space="preserve">ESJ70537428</t>
  </si>
  <si>
    <t xml:space="preserve">CAMPO DE LAMAS 12 - COUTO</t>
  </si>
  <si>
    <t xml:space="preserve">630 327 191</t>
  </si>
  <si>
    <t xml:space="preserve">4000010549</t>
  </si>
  <si>
    <t xml:space="preserve">__import__.res_partner_20000010550</t>
  </si>
  <si>
    <t xml:space="preserve">20000010550</t>
  </si>
  <si>
    <t xml:space="preserve">TOMAS CARNERO, S.L.</t>
  </si>
  <si>
    <t xml:space="preserve">ESB36754190</t>
  </si>
  <si>
    <t xml:space="preserve">CL.CANADELO ALTO, 58</t>
  </si>
  <si>
    <t xml:space="preserve">986411616</t>
  </si>
  <si>
    <t xml:space="preserve">4000010550</t>
  </si>
  <si>
    <t xml:space="preserve">__import__.res_partner_20000010551</t>
  </si>
  <si>
    <t xml:space="preserve">20000010551</t>
  </si>
  <si>
    <t xml:space="preserve">SANTOS PRINTING S.L.</t>
  </si>
  <si>
    <t xml:space="preserve">ESB67337501</t>
  </si>
  <si>
    <t xml:space="preserve">AVDA SANT JULIA 200</t>
  </si>
  <si>
    <t xml:space="preserve">937648232</t>
  </si>
  <si>
    <t xml:space="preserve">GUTHS</t>
  </si>
  <si>
    <t xml:space="preserve">4000010551</t>
  </si>
  <si>
    <t xml:space="preserve">__import__.res_partner_20000010552</t>
  </si>
  <si>
    <t xml:space="preserve">20000010552</t>
  </si>
  <si>
    <t xml:space="preserve">KESTA S.A.</t>
  </si>
  <si>
    <t xml:space="preserve">ESA26170092</t>
  </si>
  <si>
    <t xml:space="preserve">26009</t>
  </si>
  <si>
    <t xml:space="preserve">AVDA. MENDAVIA 15 - POL. IND. DE CANTABRIA</t>
  </si>
  <si>
    <t xml:space="preserve">LOGROÑO</t>
  </si>
  <si>
    <t xml:space="preserve">somomar@somomar-kesta.com</t>
  </si>
  <si>
    <t xml:space="preserve">941 233 399</t>
  </si>
  <si>
    <t xml:space="preserve">4000010552</t>
  </si>
  <si>
    <t xml:space="preserve">Instrucciones de montaje https://somomar-kesta.com/area-clientes/planos/</t>
  </si>
  <si>
    <t xml:space="preserve">__import__.res_partner_20000010553</t>
  </si>
  <si>
    <t xml:space="preserve">20000010553</t>
  </si>
  <si>
    <t xml:space="preserve">INDUSTRIAS SOMOMAR S.A.</t>
  </si>
  <si>
    <t xml:space="preserve">ESA26016980</t>
  </si>
  <si>
    <t xml:space="preserve">AVDA. MENDAVIA, 15 - POL. IND. DE CANTABRIA</t>
  </si>
  <si>
    <t xml:space="preserve">SOMOMAR@SOMOMAR-KESTA.COM</t>
  </si>
  <si>
    <t xml:space="preserve">4000010553</t>
  </si>
  <si>
    <t xml:space="preserve">__import__.res_partner_20000010554</t>
  </si>
  <si>
    <t xml:space="preserve">20000010554</t>
  </si>
  <si>
    <t xml:space="preserve">GROOVY MOBILE SPAIN, S.L.</t>
  </si>
  <si>
    <t xml:space="preserve">ESB05367321</t>
  </si>
  <si>
    <t xml:space="preserve">ALFREDI VICENTI, 3</t>
  </si>
  <si>
    <t xml:space="preserve">651 914 955</t>
  </si>
  <si>
    <t xml:space="preserve">PLUGYU</t>
  </si>
  <si>
    <t xml:space="preserve">4000010554</t>
  </si>
  <si>
    <t xml:space="preserve">__import__.res_partner_20000010564</t>
  </si>
  <si>
    <t xml:space="preserve">20000010564</t>
  </si>
  <si>
    <t xml:space="preserve">LIMPIEZAS OBRADOIRO, S.L.</t>
  </si>
  <si>
    <t xml:space="preserve">ESB15701592</t>
  </si>
  <si>
    <t xml:space="preserve">15703</t>
  </si>
  <si>
    <t xml:space="preserve">RUA MALLEU 30-32</t>
  </si>
  <si>
    <t xml:space="preserve">info@limpiezasobradoiro.com</t>
  </si>
  <si>
    <t xml:space="preserve">981 554 776</t>
  </si>
  <si>
    <t xml:space="preserve">4000010564</t>
  </si>
  <si>
    <t xml:space="preserve">__import__.res_partner_20000010565</t>
  </si>
  <si>
    <t xml:space="preserve">20000010565</t>
  </si>
  <si>
    <t xml:space="preserve">PURIFICACION VIDAL RIAL</t>
  </si>
  <si>
    <t xml:space="preserve">ES76511800T</t>
  </si>
  <si>
    <t xml:space="preserve">15960</t>
  </si>
  <si>
    <t xml:space="preserve">PLAZO DO CONCELLO, 18</t>
  </si>
  <si>
    <t xml:space="preserve">RIBEIRA</t>
  </si>
  <si>
    <t xml:space="preserve">981 87 10 87</t>
  </si>
  <si>
    <t xml:space="preserve">FERRETERIA MARIANO</t>
  </si>
  <si>
    <t xml:space="preserve">4000010565</t>
  </si>
  <si>
    <t xml:space="preserve">__import__.res_partner_20000010566</t>
  </si>
  <si>
    <t xml:space="preserve">20000010566</t>
  </si>
  <si>
    <t xml:space="preserve">DAVID FERNANDEZ PEREZ</t>
  </si>
  <si>
    <t xml:space="preserve">ES52932268E</t>
  </si>
  <si>
    <t xml:space="preserve">RUA DO MENDIÑO 4, BJ</t>
  </si>
  <si>
    <t xml:space="preserve">617671672</t>
  </si>
  <si>
    <t xml:space="preserve">DON TACON</t>
  </si>
  <si>
    <t xml:space="preserve">4000010566</t>
  </si>
  <si>
    <t xml:space="preserve">__import__.res_partner_20000010567</t>
  </si>
  <si>
    <t xml:space="preserve">20000010567</t>
  </si>
  <si>
    <t xml:space="preserve">TESLA MATERIAL ELECTRICO, S.L.</t>
  </si>
  <si>
    <t xml:space="preserve">ESB36914836</t>
  </si>
  <si>
    <t xml:space="preserve">36210</t>
  </si>
  <si>
    <t xml:space="preserve">AVDA ALCALCE PORTANET 32, BJ</t>
  </si>
  <si>
    <t xml:space="preserve">tesla@teslavigo.com</t>
  </si>
  <si>
    <t xml:space="preserve">986 213 858</t>
  </si>
  <si>
    <t xml:space="preserve">4000010567</t>
  </si>
  <si>
    <t xml:space="preserve">__import__.res_partner_20000010568</t>
  </si>
  <si>
    <t xml:space="preserve">20000010568</t>
  </si>
  <si>
    <t xml:space="preserve">WENHAO JI</t>
  </si>
  <si>
    <t xml:space="preserve">ESY1670127L</t>
  </si>
  <si>
    <t xml:space="preserve">RUA GALICIA, 38 BJ</t>
  </si>
  <si>
    <t xml:space="preserve">4000010568</t>
  </si>
  <si>
    <t xml:space="preserve">__import__.res_partner_20000010569</t>
  </si>
  <si>
    <t xml:space="preserve">20000010569</t>
  </si>
  <si>
    <t xml:space="preserve">YENSEN YE JIN</t>
  </si>
  <si>
    <t xml:space="preserve">ESX3150883K</t>
  </si>
  <si>
    <t xml:space="preserve">P.I GRANXA PARC 259 </t>
  </si>
  <si>
    <t xml:space="preserve">4000010569</t>
  </si>
  <si>
    <t xml:space="preserve">__import__.res_partner_20000010570</t>
  </si>
  <si>
    <t xml:space="preserve">20000010570</t>
  </si>
  <si>
    <t xml:space="preserve">GRUPO ELECTRO STOCKS, S.L.U</t>
  </si>
  <si>
    <t xml:space="preserve">ESB64471840</t>
  </si>
  <si>
    <t xml:space="preserve">CA,O DE CAM N'AMETLLER 16 4ªPT</t>
  </si>
  <si>
    <t xml:space="preserve">contabilidad.clientes@grupoelectrostocks.com</t>
  </si>
  <si>
    <t xml:space="preserve">936036688</t>
  </si>
  <si>
    <t xml:space="preserve">4000010570</t>
  </si>
  <si>
    <t xml:space="preserve">__import__.res_partner_20000010571</t>
  </si>
  <si>
    <t xml:space="preserve">20000010571</t>
  </si>
  <si>
    <t xml:space="preserve">MANUELA BRETAL BRION</t>
  </si>
  <si>
    <t xml:space="preserve">ES76504210T</t>
  </si>
  <si>
    <t xml:space="preserve">15701</t>
  </si>
  <si>
    <t xml:space="preserve">GERAL PARDIÑAS 9-11 3ºC</t>
  </si>
  <si>
    <t xml:space="preserve">ALQUILER RIBEIRA</t>
  </si>
  <si>
    <t xml:space="preserve">4000010571</t>
  </si>
  <si>
    <t xml:space="preserve">__import__.res_partner_20000010572</t>
  </si>
  <si>
    <t xml:space="preserve">20000010572</t>
  </si>
  <si>
    <t xml:space="preserve">TRANSPORTES GENEBRANDO CASTRO, S.L.</t>
  </si>
  <si>
    <t xml:space="preserve">ESB70135371</t>
  </si>
  <si>
    <t xml:space="preserve">15230</t>
  </si>
  <si>
    <t xml:space="preserve">PASEO DO MUELLE 11</t>
  </si>
  <si>
    <t xml:space="preserve">OUTES </t>
  </si>
  <si>
    <t xml:space="preserve">981850737</t>
  </si>
  <si>
    <t xml:space="preserve">ES2500306147220000155271</t>
  </si>
  <si>
    <t xml:space="preserve">4000010572</t>
  </si>
  <si>
    <t xml:space="preserve">https://genebrandoweb.nereid.es/
 USUARIO: Caralrojo
CONTRASEÑA: Caralrojo$23102025
USUARIO: Doustrazos
CONTRASEÑA: Doustrazos$28022022
</t>
  </si>
  <si>
    <t xml:space="preserve">__import__.res_partner_20000010573</t>
  </si>
  <si>
    <t xml:space="preserve">20000010573</t>
  </si>
  <si>
    <t xml:space="preserve">PERSIANAS PUGA, S.L.</t>
  </si>
  <si>
    <t xml:space="preserve">ESB36132520</t>
  </si>
  <si>
    <t xml:space="preserve">AREAS - PICOTO 69</t>
  </si>
  <si>
    <t xml:space="preserve">info@persianaspugasl.com</t>
  </si>
  <si>
    <t xml:space="preserve">98660328</t>
  </si>
  <si>
    <t xml:space="preserve">4000010573</t>
  </si>
  <si>
    <t xml:space="preserve">__import__.res_partner_20000010574</t>
  </si>
  <si>
    <t xml:space="preserve">20000010574</t>
  </si>
  <si>
    <t xml:space="preserve">MARTIN ALFAYA GOMEZ</t>
  </si>
  <si>
    <t xml:space="preserve">ES15490290C</t>
  </si>
  <si>
    <t xml:space="preserve">MORALES HIDALGO 7</t>
  </si>
  <si>
    <t xml:space="preserve">RADIOHERTZ1@GMAIL.COM</t>
  </si>
  <si>
    <t xml:space="preserve">986640108</t>
  </si>
  <si>
    <t xml:space="preserve">RADIO HERTZ</t>
  </si>
  <si>
    <t xml:space="preserve">4000010574</t>
  </si>
  <si>
    <t xml:space="preserve">__import__.res_partner_20000010575</t>
  </si>
  <si>
    <t xml:space="preserve">20000010575</t>
  </si>
  <si>
    <t xml:space="preserve">PAULA MARIA CONEJO FERNANDEZ</t>
  </si>
  <si>
    <t xml:space="preserve">ES45768761A</t>
  </si>
  <si>
    <t xml:space="preserve">36930</t>
  </si>
  <si>
    <t xml:space="preserve">C/MONTERO RIOS 113, BAJO B</t>
  </si>
  <si>
    <t xml:space="preserve">paulaconejo@hotmail.com</t>
  </si>
  <si>
    <t xml:space="preserve">604025077</t>
  </si>
  <si>
    <t xml:space="preserve">MAISHA</t>
  </si>
  <si>
    <t xml:space="preserve">4000010575</t>
  </si>
  <si>
    <t xml:space="preserve">__import__.res_partner_20000010576</t>
  </si>
  <si>
    <t xml:space="preserve">20000010576</t>
  </si>
  <si>
    <t xml:space="preserve">PINTURAS FERNANDO MIGUEZ, S.L.</t>
  </si>
  <si>
    <t xml:space="preserve">ESB42736165</t>
  </si>
  <si>
    <t xml:space="preserve">C/RAIÑA DONA URRACA 16</t>
  </si>
  <si>
    <t xml:space="preserve">986658529</t>
  </si>
  <si>
    <t xml:space="preserve">4000010576</t>
  </si>
  <si>
    <t xml:space="preserve">__import__.res_partner_20000010577</t>
  </si>
  <si>
    <t xml:space="preserve">20000010577</t>
  </si>
  <si>
    <t xml:space="preserve">BORAX DISTRIBUCION INFORMATICA USADA, S.L.</t>
  </si>
  <si>
    <t xml:space="preserve">ESB61687257</t>
  </si>
  <si>
    <t xml:space="preserve">28005 </t>
  </si>
  <si>
    <t xml:space="preserve">RONDA SEGOVIA 87</t>
  </si>
  <si>
    <t xml:space="preserve">932440101</t>
  </si>
  <si>
    <t xml:space="preserve">4000010577</t>
  </si>
  <si>
    <t xml:space="preserve">__import__.res_partner_20000010578</t>
  </si>
  <si>
    <t xml:space="preserve">20000010578</t>
  </si>
  <si>
    <t xml:space="preserve">SERVICIO UNIVERSIDAD, S.A.</t>
  </si>
  <si>
    <t xml:space="preserve">ESA58294273</t>
  </si>
  <si>
    <t xml:space="preserve">AV. FABREGADA, 69-73</t>
  </si>
  <si>
    <t xml:space="preserve">932 601 919</t>
  </si>
  <si>
    <t xml:space="preserve">4000010578</t>
  </si>
  <si>
    <t xml:space="preserve">__import__.res_partner_20000010579</t>
  </si>
  <si>
    <t xml:space="preserve">20000010579</t>
  </si>
  <si>
    <t xml:space="preserve">LOPEZ VELAZQUEZ PUBLICIDAD, S.L.</t>
  </si>
  <si>
    <t xml:space="preserve">ESB45702172</t>
  </si>
  <si>
    <t xml:space="preserve">45600</t>
  </si>
  <si>
    <t xml:space="preserve">BRUSELAS, 5 LOCAL 3</t>
  </si>
  <si>
    <t xml:space="preserve">TALAVERA DE LA REINA</t>
  </si>
  <si>
    <t xml:space="preserve">4000010579</t>
  </si>
  <si>
    <t xml:space="preserve">__import__.res_partner_20000010581</t>
  </si>
  <si>
    <t xml:space="preserve">20000010581</t>
  </si>
  <si>
    <t xml:space="preserve">GALFERRO EUROPA S.L.U.</t>
  </si>
  <si>
    <t xml:space="preserve">ESB94158433</t>
  </si>
  <si>
    <t xml:space="preserve">36950</t>
  </si>
  <si>
    <t xml:space="preserve">XEIRA 28</t>
  </si>
  <si>
    <t xml:space="preserve">MOAÑA</t>
  </si>
  <si>
    <t xml:space="preserve">info@sanamask.com</t>
  </si>
  <si>
    <t xml:space="preserve">SANAMASK</t>
  </si>
  <si>
    <t xml:space="preserve">4000010581</t>
  </si>
  <si>
    <t xml:space="preserve">__import__.res_partner_20000010582</t>
  </si>
  <si>
    <t xml:space="preserve">20000010582</t>
  </si>
  <si>
    <t xml:space="preserve">DISTRIBUCIONES CIMADEVILLA, S.A.</t>
  </si>
  <si>
    <t xml:space="preserve">ESA33680919</t>
  </si>
  <si>
    <t xml:space="preserve">ARQUIMEDES, 173</t>
  </si>
  <si>
    <t xml:space="preserve">POL. IND. ROCES 3</t>
  </si>
  <si>
    <t xml:space="preserve">GIJON</t>
  </si>
  <si>
    <t xml:space="preserve">pedidos@discimadevilla.com</t>
  </si>
  <si>
    <t xml:space="preserve">985 307 043</t>
  </si>
  <si>
    <t xml:space="preserve">4000010582</t>
  </si>
  <si>
    <t xml:space="preserve">__import__.res_partner_20000010583</t>
  </si>
  <si>
    <t xml:space="preserve">20000010583</t>
  </si>
  <si>
    <t xml:space="preserve">AARON ISRAEL ALFAYA TATO</t>
  </si>
  <si>
    <t xml:space="preserve">ES35574835E</t>
  </si>
  <si>
    <t xml:space="preserve">CAMINO DEL PENEDO 5</t>
  </si>
  <si>
    <t xml:space="preserve">986 600 310</t>
  </si>
  <si>
    <t xml:space="preserve">4000010583</t>
  </si>
  <si>
    <t xml:space="preserve">__import__.res_partner_20000010584</t>
  </si>
  <si>
    <t xml:space="preserve">20000010584</t>
  </si>
  <si>
    <t xml:space="preserve">ALTRASAN, S.L</t>
  </si>
  <si>
    <t xml:space="preserve">ESB36303956</t>
  </si>
  <si>
    <t xml:space="preserve">GANDARA 5 - GUILLAREI</t>
  </si>
  <si>
    <t xml:space="preserve">986 603 619</t>
  </si>
  <si>
    <t xml:space="preserve">4000010584</t>
  </si>
  <si>
    <t xml:space="preserve">__import__.res_partner_20000010585</t>
  </si>
  <si>
    <t xml:space="preserve">20000010585</t>
  </si>
  <si>
    <t xml:space="preserve">ANA MARIA BESADA MARTINEZ</t>
  </si>
  <si>
    <t xml:space="preserve">ES35554435T</t>
  </si>
  <si>
    <t xml:space="preserve">RUA ESPERANZA 14</t>
  </si>
  <si>
    <t xml:space="preserve">986 661 969</t>
  </si>
  <si>
    <t xml:space="preserve">CHEVERE</t>
  </si>
  <si>
    <t xml:space="preserve">4000010585</t>
  </si>
  <si>
    <t xml:space="preserve">__import__.res_partner_20000010586</t>
  </si>
  <si>
    <t xml:space="preserve">20000010586</t>
  </si>
  <si>
    <t xml:space="preserve">REPUESTOS OJEA, S.L.</t>
  </si>
  <si>
    <t xml:space="preserve">ESB94166089</t>
  </si>
  <si>
    <t xml:space="preserve">AVDA GALICIA 44 BJ</t>
  </si>
  <si>
    <t xml:space="preserve">986 34 3371</t>
  </si>
  <si>
    <t xml:space="preserve">4000010586</t>
  </si>
  <si>
    <t xml:space="preserve">__import__.res_partner_20000010587</t>
  </si>
  <si>
    <t xml:space="preserve">20000010587</t>
  </si>
  <si>
    <t xml:space="preserve">FORTUNIA PORRIÑO, S.L</t>
  </si>
  <si>
    <t xml:space="preserve">ESB27868827</t>
  </si>
  <si>
    <t xml:space="preserve">CRTA PO-510 A CASILLA - ATIOS</t>
  </si>
  <si>
    <t xml:space="preserve">porrino@easygasgroup.com</t>
  </si>
  <si>
    <t xml:space="preserve">986 149 839</t>
  </si>
  <si>
    <t xml:space="preserve">4000010587</t>
  </si>
  <si>
    <t xml:space="preserve">__import__.res_partner_20000010588</t>
  </si>
  <si>
    <t xml:space="preserve">20000010588</t>
  </si>
  <si>
    <t xml:space="preserve">CARLOS GONZALEZ MEIJIDE</t>
  </si>
  <si>
    <t xml:space="preserve">ES32771098P</t>
  </si>
  <si>
    <t xml:space="preserve">15702</t>
  </si>
  <si>
    <t xml:space="preserve">RUHA DO HORREO, 19 ESC-E 6ºD</t>
  </si>
  <si>
    <t xml:space="preserve">carlosgmeixide@gmail.com</t>
  </si>
  <si>
    <t xml:space="preserve">652 026 748</t>
  </si>
  <si>
    <t xml:space="preserve">CARLOS MEIXIDE</t>
  </si>
  <si>
    <t xml:space="preserve">4000010588</t>
  </si>
  <si>
    <t xml:space="preserve">__import__.res_partner_20000010592</t>
  </si>
  <si>
    <t xml:space="preserve">20000010592</t>
  </si>
  <si>
    <t xml:space="preserve">AMOEDO SOLUTIONS, S.L.</t>
  </si>
  <si>
    <t xml:space="preserve">ESB94147782</t>
  </si>
  <si>
    <t xml:space="preserve">36913</t>
  </si>
  <si>
    <t xml:space="preserve">VIAL PLAYA DE AGUETE 28</t>
  </si>
  <si>
    <t xml:space="preserve">MARIN</t>
  </si>
  <si>
    <t xml:space="preserve">4000010592</t>
  </si>
  <si>
    <t xml:space="preserve">__import__.res_partner_20000010593</t>
  </si>
  <si>
    <t xml:space="preserve">20000010593</t>
  </si>
  <si>
    <t xml:space="preserve">BALVI GIFTS S.L.</t>
  </si>
  <si>
    <t xml:space="preserve">ESB08339756</t>
  </si>
  <si>
    <t xml:space="preserve">Avinguda del Baix Llobregat 9-11</t>
  </si>
  <si>
    <t xml:space="preserve">PRAT DE LLOBREGAT, EL</t>
  </si>
  <si>
    <t xml:space="preserve">shop@balvi.com</t>
  </si>
  <si>
    <t xml:space="preserve">93 378 91 91</t>
  </si>
  <si>
    <t xml:space="preserve">BALVI BARCELONA</t>
  </si>
  <si>
    <t xml:space="preserve">4000010593</t>
  </si>
  <si>
    <t xml:space="preserve">__import__.res_partner_20000010594</t>
  </si>
  <si>
    <t xml:space="preserve">20000010594</t>
  </si>
  <si>
    <t xml:space="preserve">MILA-ROSA, S.A</t>
  </si>
  <si>
    <t xml:space="preserve">ESA46584488</t>
  </si>
  <si>
    <t xml:space="preserve">AVDA TEXTIL 61</t>
  </si>
  <si>
    <t xml:space="preserve">APTDO CORREOS 352</t>
  </si>
  <si>
    <t xml:space="preserve">962 917 091</t>
  </si>
  <si>
    <t xml:space="preserve">4000010594</t>
  </si>
  <si>
    <t xml:space="preserve">__import__.res_partner_20000010595</t>
  </si>
  <si>
    <t xml:space="preserve">20000010595</t>
  </si>
  <si>
    <t xml:space="preserve">OLEOVID S.L.</t>
  </si>
  <si>
    <t xml:space="preserve">ESB88598933</t>
  </si>
  <si>
    <t xml:space="preserve">C/ ESTOCOLMO 8,A</t>
  </si>
  <si>
    <t xml:space="preserve">LAS ROZAS DE MADRID       </t>
  </si>
  <si>
    <t xml:space="preserve">pedidos@oleovid.com</t>
  </si>
  <si>
    <t xml:space="preserve">919 284 124</t>
  </si>
  <si>
    <t xml:space="preserve">ES4600492958132914344538</t>
  </si>
  <si>
    <t xml:space="preserve">OLEOVID</t>
  </si>
  <si>
    <t xml:space="preserve">4000010595</t>
  </si>
  <si>
    <t xml:space="preserve">__import__.res_partner_20000010596</t>
  </si>
  <si>
    <t xml:space="preserve">20000010596</t>
  </si>
  <si>
    <t xml:space="preserve">ELENCO LIDER, LDA</t>
  </si>
  <si>
    <t xml:space="preserve">PT515982709</t>
  </si>
  <si>
    <t xml:space="preserve">4950-436</t>
  </si>
  <si>
    <t xml:space="preserve">RUA DE SANTO ANTONIO 67</t>
  </si>
  <si>
    <t xml:space="preserve">elencoliderlda@gmail.com</t>
  </si>
  <si>
    <t xml:space="preserve">4000010596</t>
  </si>
  <si>
    <t xml:space="preserve">__import__.res_partner_20000010597</t>
  </si>
  <si>
    <t xml:space="preserve">20000010597</t>
  </si>
  <si>
    <t xml:space="preserve">TEEHUIS TRADING, S.L.</t>
  </si>
  <si>
    <t xml:space="preserve">ESB27729409</t>
  </si>
  <si>
    <t xml:space="preserve">P.I A GRANXA - RUA D ESQUINA PARALELA 3</t>
  </si>
  <si>
    <t xml:space="preserve">OFICINA 200/201</t>
  </si>
  <si>
    <t xml:space="preserve">PORRIÑO, O (CASCO URBANO)</t>
  </si>
  <si>
    <t xml:space="preserve">nl@teehuistrading.com</t>
  </si>
  <si>
    <t xml:space="preserve">681 324 324</t>
  </si>
  <si>
    <t xml:space="preserve">THE PASSION OF TRADING</t>
  </si>
  <si>
    <t xml:space="preserve">4000010597</t>
  </si>
  <si>
    <t xml:space="preserve">__import__.res_partner_20000010598</t>
  </si>
  <si>
    <t xml:space="preserve">20000010598</t>
  </si>
  <si>
    <t xml:space="preserve">ALPHABET ESPAÑA FLEET MANAGEMENT, S.A.U</t>
  </si>
  <si>
    <t xml:space="preserve">ESA91001438</t>
  </si>
  <si>
    <t xml:space="preserve">AVDA BURGOS 118</t>
  </si>
  <si>
    <t xml:space="preserve">ALPHABET</t>
  </si>
  <si>
    <t xml:space="preserve">4000010598</t>
  </si>
  <si>
    <t xml:space="preserve">__import__.res_partner_20000010599</t>
  </si>
  <si>
    <t xml:space="preserve">20000010599</t>
  </si>
  <si>
    <t xml:space="preserve">MARCOS GARCIA DEL RIO</t>
  </si>
  <si>
    <t xml:space="preserve">ES78791644S</t>
  </si>
  <si>
    <t xml:space="preserve">RUA ANTON DE NOIA, 1, P 27 PLAZA ABASTOS</t>
  </si>
  <si>
    <t xml:space="preserve">info@cleaningnoia.es</t>
  </si>
  <si>
    <t xml:space="preserve">608 70 72 37</t>
  </si>
  <si>
    <t xml:space="preserve">ES1600812169710001142715</t>
  </si>
  <si>
    <t xml:space="preserve">CLEANING NOIA</t>
  </si>
  <si>
    <t xml:space="preserve">4000010599</t>
  </si>
  <si>
    <t xml:space="preserve">__import__.res_partner_20000010600</t>
  </si>
  <si>
    <t xml:space="preserve">20000010600</t>
  </si>
  <si>
    <t xml:space="preserve">DECATHLON ESPAÑA, S.A.U</t>
  </si>
  <si>
    <t xml:space="preserve">ESA79935607</t>
  </si>
  <si>
    <t xml:space="preserve">28702</t>
  </si>
  <si>
    <t xml:space="preserve">C/ SALVADOR MADARIAGA</t>
  </si>
  <si>
    <t xml:space="preserve">SAN SEBASTIáN DE LOS REYES</t>
  </si>
  <si>
    <t xml:space="preserve">916573767</t>
  </si>
  <si>
    <t xml:space="preserve">4000010600</t>
  </si>
  <si>
    <t xml:space="preserve">__import__.res_partner_20000010601</t>
  </si>
  <si>
    <t xml:space="preserve">20000010601</t>
  </si>
  <si>
    <t xml:space="preserve">PUNTOS BAJO COSTE, S.L.</t>
  </si>
  <si>
    <t xml:space="preserve">ESA86591021</t>
  </si>
  <si>
    <t xml:space="preserve">ENRIQUE VIDAL ABASCAL 7 BJ</t>
  </si>
  <si>
    <t xml:space="preserve">O PAXONAL</t>
  </si>
  <si>
    <t xml:space="preserve">981 598 531</t>
  </si>
  <si>
    <t xml:space="preserve">SBC</t>
  </si>
  <si>
    <t xml:space="preserve">4000010601</t>
  </si>
  <si>
    <t xml:space="preserve">__import__.res_partner_20000010602</t>
  </si>
  <si>
    <t xml:space="preserve">20000010602</t>
  </si>
  <si>
    <t xml:space="preserve">MANUEL VILLAMERIEL AHEDO</t>
  </si>
  <si>
    <t xml:space="preserve">ES12690401J</t>
  </si>
  <si>
    <t xml:space="preserve">PASEO DE LA JUNQUERA 41</t>
  </si>
  <si>
    <t xml:space="preserve">REDONDELA (CASCO URBANO)</t>
  </si>
  <si>
    <t xml:space="preserve">986 400 493</t>
  </si>
  <si>
    <t xml:space="preserve">AGRO REDONDELA</t>
  </si>
  <si>
    <t xml:space="preserve">4000010602</t>
  </si>
  <si>
    <t xml:space="preserve">__import__.res_partner_20000010603</t>
  </si>
  <si>
    <t xml:space="preserve">20000010603</t>
  </si>
  <si>
    <t xml:space="preserve">ALVARO-LORENZO FARIÑA DOMINGUEZ</t>
  </si>
  <si>
    <t xml:space="preserve">ES34974449M</t>
  </si>
  <si>
    <t xml:space="preserve">AVDA GALICIA 11, 1ºB-C</t>
  </si>
  <si>
    <t xml:space="preserve">986 640 054</t>
  </si>
  <si>
    <t xml:space="preserve">NOTARIA DE PONTEAREAS</t>
  </si>
  <si>
    <t xml:space="preserve">4000010603</t>
  </si>
  <si>
    <t xml:space="preserve">__import__.res_partner_20000010604</t>
  </si>
  <si>
    <t xml:space="preserve">20000010604</t>
  </si>
  <si>
    <t xml:space="preserve">LORENA LOPEZ MIGUEZ</t>
  </si>
  <si>
    <t xml:space="preserve">ES01180133A</t>
  </si>
  <si>
    <t xml:space="preserve">28011</t>
  </si>
  <si>
    <t xml:space="preserve">NAVAS DEL REY, 20</t>
  </si>
  <si>
    <t xml:space="preserve">info@bblotk.com</t>
  </si>
  <si>
    <t xml:space="preserve">699 599 757</t>
  </si>
  <si>
    <t xml:space="preserve">ES7602388277470600148094</t>
  </si>
  <si>
    <t xml:space="preserve">BBLOTK</t>
  </si>
  <si>
    <t xml:space="preserve">4000010604</t>
  </si>
  <si>
    <t xml:space="preserve">__import__.res_partner_20000010612</t>
  </si>
  <si>
    <t xml:space="preserve">20000010612</t>
  </si>
  <si>
    <t xml:space="preserve">MARÍA DEL MAR CORRIENTE MARTINEZ</t>
  </si>
  <si>
    <t xml:space="preserve">ES35558746X</t>
  </si>
  <si>
    <t xml:space="preserve">VACARIA 1</t>
  </si>
  <si>
    <t xml:space="preserve">CASAL, O (BUDIÑO)</t>
  </si>
  <si>
    <t xml:space="preserve">FARMACIA</t>
  </si>
  <si>
    <t xml:space="preserve">4000010612</t>
  </si>
  <si>
    <t xml:space="preserve">__import__.res_partner_20000010613</t>
  </si>
  <si>
    <t xml:space="preserve">20000010613</t>
  </si>
  <si>
    <t xml:space="preserve">OFIMATICA CÍES, S.L.</t>
  </si>
  <si>
    <t xml:space="preserve">ESB27727577</t>
  </si>
  <si>
    <t xml:space="preserve">36209</t>
  </si>
  <si>
    <t xml:space="preserve">C/MARIN ECHEGARAY, 5</t>
  </si>
  <si>
    <t xml:space="preserve">ofimaticacies@gmail.com</t>
  </si>
  <si>
    <t xml:space="preserve">986 11 2828 </t>
  </si>
  <si>
    <t xml:space="preserve">4000010613</t>
  </si>
  <si>
    <t xml:space="preserve">__import__.res_partner_20000010614</t>
  </si>
  <si>
    <t xml:space="preserve">20000010614</t>
  </si>
  <si>
    <t xml:space="preserve">JOSE JAVIER LEMOS DOMINGUEZ</t>
  </si>
  <si>
    <t xml:space="preserve">ES34872001E</t>
  </si>
  <si>
    <t xml:space="preserve">C/COUTO, 11</t>
  </si>
  <si>
    <t xml:space="preserve">SALVATERRA DE MIÑO (CASCO URBANO)</t>
  </si>
  <si>
    <t xml:space="preserve">ALULEMOS@HOTMAIL.COM</t>
  </si>
  <si>
    <t xml:space="preserve">986 65 81 55 </t>
  </si>
  <si>
    <t xml:space="preserve">ALULEMOS</t>
  </si>
  <si>
    <t xml:space="preserve">4000010614</t>
  </si>
  <si>
    <t xml:space="preserve">__import__.res_partner_20000010615</t>
  </si>
  <si>
    <t xml:space="preserve">20000010615</t>
  </si>
  <si>
    <t xml:space="preserve">PAPELERIA RIBEREÑA, S.L.</t>
  </si>
  <si>
    <t xml:space="preserve">ESB87210696</t>
  </si>
  <si>
    <t xml:space="preserve">C/ RAMON GONZALEZ, 40</t>
  </si>
  <si>
    <t xml:space="preserve">oporrino@folder.es</t>
  </si>
  <si>
    <t xml:space="preserve">986 33 17 81</t>
  </si>
  <si>
    <t xml:space="preserve">FOLDER</t>
  </si>
  <si>
    <t xml:space="preserve">4000010615</t>
  </si>
  <si>
    <t xml:space="preserve">__import__.res_partner_20000010616</t>
  </si>
  <si>
    <t xml:space="preserve">20000010616</t>
  </si>
  <si>
    <t xml:space="preserve">LOAN INDUSTRIAS GRAFICAS S.L.</t>
  </si>
  <si>
    <t xml:space="preserve">ESB96015235</t>
  </si>
  <si>
    <t xml:space="preserve">46100</t>
  </si>
  <si>
    <t xml:space="preserve">MARIANO BENLLIURE S/N</t>
  </si>
  <si>
    <t xml:space="preserve">BURJASSOT</t>
  </si>
  <si>
    <t xml:space="preserve">963631633</t>
  </si>
  <si>
    <t xml:space="preserve">LOAN</t>
  </si>
  <si>
    <t xml:space="preserve">4000010616</t>
  </si>
  <si>
    <t xml:space="preserve">__import__.res_partner_20000010617</t>
  </si>
  <si>
    <t xml:space="preserve">20000010617</t>
  </si>
  <si>
    <t xml:space="preserve">EDUARDO ALONSO VALVERDE</t>
  </si>
  <si>
    <t xml:space="preserve">ES77000920W</t>
  </si>
  <si>
    <t xml:space="preserve">36458</t>
  </si>
  <si>
    <t xml:space="preserve">C/CARRILLAS 8 BARRIO IGLESIA</t>
  </si>
  <si>
    <t xml:space="preserve">ARANTEI (SAN PEDRO)</t>
  </si>
  <si>
    <t xml:space="preserve">986 45 05 03</t>
  </si>
  <si>
    <t xml:space="preserve">EAV PUERTAS AUTOMATICAS</t>
  </si>
  <si>
    <t xml:space="preserve">4000010617</t>
  </si>
  <si>
    <t xml:space="preserve">__import__.res_partner_20000010618</t>
  </si>
  <si>
    <t xml:space="preserve">20000010618</t>
  </si>
  <si>
    <t xml:space="preserve">NAICO DISCAT, S.L.</t>
  </si>
  <si>
    <t xml:space="preserve">ESB66666645</t>
  </si>
  <si>
    <t xml:space="preserve">08500</t>
  </si>
  <si>
    <t xml:space="preserve">RAMBLA HOSPITAL 6 - 3R 3A</t>
  </si>
  <si>
    <t xml:space="preserve">VIC</t>
  </si>
  <si>
    <t xml:space="preserve">938 869 060</t>
  </si>
  <si>
    <t xml:space="preserve">COMERCIAL NIM</t>
  </si>
  <si>
    <t xml:space="preserve">4000010618</t>
  </si>
  <si>
    <t xml:space="preserve">__import__.res_partner_20000010619</t>
  </si>
  <si>
    <t xml:space="preserve">20000010619</t>
  </si>
  <si>
    <t xml:space="preserve">DESAFIOS EM SINTONIA, LDA</t>
  </si>
  <si>
    <t xml:space="preserve">PT513589910</t>
  </si>
  <si>
    <t xml:space="preserve">3770-059</t>
  </si>
  <si>
    <t xml:space="preserve">RUA FONTE DO LUGAR R/C LOTE C</t>
  </si>
  <si>
    <t xml:space="preserve">OIA</t>
  </si>
  <si>
    <t xml:space="preserve">geral@desafiosemsintonia.pt</t>
  </si>
  <si>
    <t xml:space="preserve">00351 234243096</t>
  </si>
  <si>
    <t xml:space="preserve">ALLPROCARE</t>
  </si>
  <si>
    <t xml:space="preserve">4000010619</t>
  </si>
  <si>
    <t xml:space="preserve">__import__.res_partner_20000010627</t>
  </si>
  <si>
    <t xml:space="preserve">20000010627</t>
  </si>
  <si>
    <t xml:space="preserve">BCN QUALITES, S.L.</t>
  </si>
  <si>
    <t xml:space="preserve">ESB63651020</t>
  </si>
  <si>
    <t xml:space="preserve">COSTA BRAVA 25-29, 1ª PLTA LOCAL 6</t>
  </si>
  <si>
    <t xml:space="preserve">rvila@sesa-systems.es</t>
  </si>
  <si>
    <t xml:space="preserve">932 319 400</t>
  </si>
  <si>
    <t xml:space="preserve">4000010627</t>
  </si>
  <si>
    <t xml:space="preserve">__import__.res_partner_20000010629</t>
  </si>
  <si>
    <t xml:space="preserve">20000010629</t>
  </si>
  <si>
    <t xml:space="preserve">SAS SESA SYSTEMS</t>
  </si>
  <si>
    <t xml:space="preserve">FR0A44359245</t>
  </si>
  <si>
    <t xml:space="preserve">27340</t>
  </si>
  <si>
    <t xml:space="preserve">CHE DU VAL RICHARD</t>
  </si>
  <si>
    <t xml:space="preserve">CRIQUEBEUF SUR SEINE</t>
  </si>
  <si>
    <t xml:space="preserve">4000010629</t>
  </si>
  <si>
    <t xml:space="preserve">__import__.res_partner_20000010632</t>
  </si>
  <si>
    <t xml:space="preserve">20000010632</t>
  </si>
  <si>
    <t xml:space="preserve">IBERDROLA CLIENTES, S.A.U</t>
  </si>
  <si>
    <t xml:space="preserve">ESA95758389</t>
  </si>
  <si>
    <t xml:space="preserve">C/ TOMAS REDONDO 1</t>
  </si>
  <si>
    <t xml:space="preserve">IBERDROLA</t>
  </si>
  <si>
    <t xml:space="preserve">4000010632</t>
  </si>
  <si>
    <t xml:space="preserve">__import__.res_partner_20000010633</t>
  </si>
  <si>
    <t xml:space="preserve">20000010633</t>
  </si>
  <si>
    <t xml:space="preserve">C.P.A CONDADO</t>
  </si>
  <si>
    <t xml:space="preserve">ESG94015542</t>
  </si>
  <si>
    <t xml:space="preserve">BARRIOS CHANS S/N - LEIRADO</t>
  </si>
  <si>
    <t xml:space="preserve">alejandro_groba@hotmail.com</t>
  </si>
  <si>
    <t xml:space="preserve">615129181</t>
  </si>
  <si>
    <t xml:space="preserve">4000010633</t>
  </si>
  <si>
    <t xml:space="preserve">__import__.res_partner_20000010634</t>
  </si>
  <si>
    <t xml:space="preserve">20000010634</t>
  </si>
  <si>
    <t xml:space="preserve">ASOC. R.E.I  COFRADÍA DA DORNA</t>
  </si>
  <si>
    <t xml:space="preserve">ESG15315682</t>
  </si>
  <si>
    <t xml:space="preserve">APTDO. CORREOS 16</t>
  </si>
  <si>
    <t xml:space="preserve">secretariadorna@gmail.com</t>
  </si>
  <si>
    <t xml:space="preserve">4000010634</t>
  </si>
  <si>
    <t xml:space="preserve">__import__.res_partner_20000010635</t>
  </si>
  <si>
    <t xml:space="preserve">20000010635</t>
  </si>
  <si>
    <t xml:space="preserve">EFIGALIA ENERGY, S.L.</t>
  </si>
  <si>
    <t xml:space="preserve">ESB27518505</t>
  </si>
  <si>
    <t xml:space="preserve">27500</t>
  </si>
  <si>
    <t xml:space="preserve">AVDA LUGO 10</t>
  </si>
  <si>
    <t xml:space="preserve">CHANTADA (CASCO URBANO)</t>
  </si>
  <si>
    <t xml:space="preserve">EFIGALIA</t>
  </si>
  <si>
    <t xml:space="preserve">4000010635</t>
  </si>
  <si>
    <t xml:space="preserve">__import__.res_partner_20000010636</t>
  </si>
  <si>
    <t xml:space="preserve">20000010636</t>
  </si>
  <si>
    <t xml:space="preserve">AREA DE SERVICIO O VIAXEIRO VEC RIOS, S.L.</t>
  </si>
  <si>
    <t xml:space="preserve">ESB32335028</t>
  </si>
  <si>
    <t xml:space="preserve">32611</t>
  </si>
  <si>
    <t xml:space="preserve">A52 SALIDA 143</t>
  </si>
  <si>
    <t xml:space="preserve">RIOS</t>
  </si>
  <si>
    <t xml:space="preserve">VECRIOS</t>
  </si>
  <si>
    <t xml:space="preserve">4000010636</t>
  </si>
  <si>
    <t xml:space="preserve">__import__.res_partner_20000010637</t>
  </si>
  <si>
    <t xml:space="preserve">20000010637</t>
  </si>
  <si>
    <t xml:space="preserve">BARAFUNDA S.L.</t>
  </si>
  <si>
    <t xml:space="preserve">ESB27756402</t>
  </si>
  <si>
    <t xml:space="preserve">CAMIÑO DO POMBAL, 38 BX - CALVARIO</t>
  </si>
  <si>
    <t xml:space="preserve">barafunda@barafundaanimacion.com</t>
  </si>
  <si>
    <t xml:space="preserve">986 221 218</t>
  </si>
  <si>
    <t xml:space="preserve">4000010637</t>
  </si>
  <si>
    <t xml:space="preserve">__import__.res_partner_20000010638</t>
  </si>
  <si>
    <t xml:space="preserve">20000010638</t>
  </si>
  <si>
    <t xml:space="preserve">PRODUCCIONES VIGOCITY, S.L.U.</t>
  </si>
  <si>
    <t xml:space="preserve">ESB09739228</t>
  </si>
  <si>
    <t xml:space="preserve">PZ. EUGENIO FADRIQUE, 10</t>
  </si>
  <si>
    <t xml:space="preserve">pedidos@vigocity.es</t>
  </si>
  <si>
    <t xml:space="preserve">986 172 130</t>
  </si>
  <si>
    <t xml:space="preserve">ES9821005911160200211373</t>
  </si>
  <si>
    <t xml:space="preserve">REPROGALICIA</t>
  </si>
  <si>
    <t xml:space="preserve">4000010638</t>
  </si>
  <si>
    <t xml:space="preserve">__import__.res_partner_20000010639</t>
  </si>
  <si>
    <t xml:space="preserve">20000010639</t>
  </si>
  <si>
    <t xml:space="preserve">JDM SILLERIA, S.L.</t>
  </si>
  <si>
    <t xml:space="preserve">ESB26254789</t>
  </si>
  <si>
    <t xml:space="preserve">Pol. Portalada II, c/ Cordonera 5</t>
  </si>
  <si>
    <t xml:space="preserve">samuel@ismobel.com</t>
  </si>
  <si>
    <t xml:space="preserve">941230752</t>
  </si>
  <si>
    <t xml:space="preserve">4000010639</t>
  </si>
  <si>
    <t xml:space="preserve">12/09/2022: Para pedidos inferiores a 400€, aplican 50€ de portes. Descuento 40% sobre tarifa</t>
  </si>
  <si>
    <t xml:space="preserve">__import__.res_partner_20000010640</t>
  </si>
  <si>
    <t xml:space="preserve">20000010640</t>
  </si>
  <si>
    <t xml:space="preserve">CUARTO DE INVERNO S.COOP.GALEGA</t>
  </si>
  <si>
    <t xml:space="preserve">ESF70601976</t>
  </si>
  <si>
    <t xml:space="preserve">15810</t>
  </si>
  <si>
    <t xml:space="preserve">OUTEIRO, S/N - FIGUEIROA</t>
  </si>
  <si>
    <t xml:space="preserve">ARZUA</t>
  </si>
  <si>
    <t xml:space="preserve">info@cuartodeinverno.com</t>
  </si>
  <si>
    <t xml:space="preserve">4000010640</t>
  </si>
  <si>
    <t xml:space="preserve">__import__.res_partner_20000010641</t>
  </si>
  <si>
    <t xml:space="preserve">20000010641</t>
  </si>
  <si>
    <t xml:space="preserve">ESTETICA &amp; WELLNESS, S.L.</t>
  </si>
  <si>
    <t xml:space="preserve">ESB86671633</t>
  </si>
  <si>
    <t xml:space="preserve">28003</t>
  </si>
  <si>
    <t xml:space="preserve">MELQUIADES ALVAREZ, 17</t>
  </si>
  <si>
    <t xml:space="preserve">4000010641</t>
  </si>
  <si>
    <t xml:space="preserve">__import__.res_partner_20000010645</t>
  </si>
  <si>
    <t xml:space="preserve">20000010645</t>
  </si>
  <si>
    <t xml:space="preserve">ENDESA ENERGIA, S.A.</t>
  </si>
  <si>
    <t xml:space="preserve">ESA81948077</t>
  </si>
  <si>
    <t xml:space="preserve">C/ RIBERA DEL LOIRA 60</t>
  </si>
  <si>
    <t xml:space="preserve">AVERIAS: </t>
  </si>
  <si>
    <t xml:space="preserve">ENDESA</t>
  </si>
  <si>
    <t xml:space="preserve">4000010645</t>
  </si>
  <si>
    <t xml:space="preserve">AVERÍAS REDONDELA: 900 333 999</t>
  </si>
  <si>
    <t xml:space="preserve">__import__.res_partner_20000010646</t>
  </si>
  <si>
    <t xml:space="preserve">20000010646</t>
  </si>
  <si>
    <t xml:space="preserve">BALSI SISTEMAS DE INFORMAÇAO, LDA</t>
  </si>
  <si>
    <t xml:space="preserve">PT507107446</t>
  </si>
  <si>
    <t xml:space="preserve">4150-688</t>
  </si>
  <si>
    <t xml:space="preserve">TRAVESSA SR DA BOA MORTE 49</t>
  </si>
  <si>
    <t xml:space="preserve">comercial@balsi.pt</t>
  </si>
  <si>
    <t xml:space="preserve">00651226075533</t>
  </si>
  <si>
    <t xml:space="preserve">PT50003504290005008223098</t>
  </si>
  <si>
    <t xml:space="preserve">BALSI</t>
  </si>
  <si>
    <t xml:space="preserve">4000010646</t>
  </si>
  <si>
    <t xml:space="preserve">__import__.res_partner_20000010647</t>
  </si>
  <si>
    <t xml:space="preserve">20000010647</t>
  </si>
  <si>
    <t xml:space="preserve">RAFAEL FERNÁNDEZ ALONSO</t>
  </si>
  <si>
    <t xml:space="preserve">ES76909215K</t>
  </si>
  <si>
    <t xml:space="preserve">36710</t>
  </si>
  <si>
    <t xml:space="preserve">RIBADELOURO FERNAL 21</t>
  </si>
  <si>
    <t xml:space="preserve">RIBADELOURO (SANTA COMBA)</t>
  </si>
  <si>
    <t xml:space="preserve">4000010647</t>
  </si>
  <si>
    <t xml:space="preserve">__import__.res_partner_20000010648</t>
  </si>
  <si>
    <t xml:space="preserve">20000010648</t>
  </si>
  <si>
    <t xml:space="preserve">ELECTROSON GALICIA, S.A</t>
  </si>
  <si>
    <t xml:space="preserve">ESA36634749</t>
  </si>
  <si>
    <t xml:space="preserve">CL. VENEZUELA 23</t>
  </si>
  <si>
    <t xml:space="preserve">986 49 32 81</t>
  </si>
  <si>
    <t xml:space="preserve">ELECTROSON</t>
  </si>
  <si>
    <t xml:space="preserve">4000010648</t>
  </si>
  <si>
    <t xml:space="preserve">__import__.res_partner_20000010649</t>
  </si>
  <si>
    <t xml:space="preserve">20000010649</t>
  </si>
  <si>
    <t xml:space="preserve">PLASTICOS DETECTABLES S.L.</t>
  </si>
  <si>
    <t xml:space="preserve">ESB66602152</t>
  </si>
  <si>
    <t xml:space="preserve">08800</t>
  </si>
  <si>
    <t xml:space="preserve">RAMBLA DELS PAISOS CATALANS, 18 NAVE 5</t>
  </si>
  <si>
    <t xml:space="preserve">VILANOVA I LA GELTRU</t>
  </si>
  <si>
    <t xml:space="preserve">info@plasticosdetectables.com</t>
  </si>
  <si>
    <t xml:space="preserve">938828973</t>
  </si>
  <si>
    <t xml:space="preserve">4000010649</t>
  </si>
  <si>
    <t xml:space="preserve">01/03/23: 10€ de portes si no llega a mínimo</t>
  </si>
  <si>
    <t xml:space="preserve">__import__.res_partner_20000010650</t>
  </si>
  <si>
    <t xml:space="preserve">20000010650</t>
  </si>
  <si>
    <t xml:space="preserve">REFRIGERACION DE RIVEIRA S.L.</t>
  </si>
  <si>
    <t xml:space="preserve">ESB15405681</t>
  </si>
  <si>
    <t xml:space="preserve">DEÁN PEQUENO, 113</t>
  </si>
  <si>
    <t xml:space="preserve">RIBEIRA (SANTA UXIA)</t>
  </si>
  <si>
    <t xml:space="preserve">981 872 707</t>
  </si>
  <si>
    <t xml:space="preserve">CLIMAFRIO</t>
  </si>
  <si>
    <t xml:space="preserve">4000010650</t>
  </si>
  <si>
    <t xml:space="preserve">__import__.res_partner_20000010651</t>
  </si>
  <si>
    <t xml:space="preserve">20000010651</t>
  </si>
  <si>
    <t xml:space="preserve">GRACIANO RODRIGUEZ S.L.</t>
  </si>
  <si>
    <t xml:space="preserve">ESB36628410</t>
  </si>
  <si>
    <t xml:space="preserve">CRA. SEIXIÑOS Nº 15 BEADE</t>
  </si>
  <si>
    <t xml:space="preserve">artedigital@gracianorodriguez.com</t>
  </si>
  <si>
    <t xml:space="preserve">4000010651</t>
  </si>
  <si>
    <t xml:space="preserve">__import__.res_partner_20000010652</t>
  </si>
  <si>
    <t xml:space="preserve">20000010652</t>
  </si>
  <si>
    <t xml:space="preserve">SERIGAL 4, S.L.</t>
  </si>
  <si>
    <t xml:space="preserve">ESB36335602</t>
  </si>
  <si>
    <t xml:space="preserve">36600</t>
  </si>
  <si>
    <t xml:space="preserve">P.I. TRABANCA BADIÑA (TRENTE ITV)</t>
  </si>
  <si>
    <t xml:space="preserve">VILAGARCIA DE AROUSA</t>
  </si>
  <si>
    <t xml:space="preserve">pedidos@serigal.es</t>
  </si>
  <si>
    <t xml:space="preserve">986510354</t>
  </si>
  <si>
    <t xml:space="preserve">SERIGAL</t>
  </si>
  <si>
    <t xml:space="preserve">4000010652</t>
  </si>
  <si>
    <t xml:space="preserve">__import__.res_partner_20000010653</t>
  </si>
  <si>
    <t xml:space="preserve">20000010653</t>
  </si>
  <si>
    <t xml:space="preserve">INDUSTRIAS TAYG S.L.U.</t>
  </si>
  <si>
    <t xml:space="preserve">ESB46054508</t>
  </si>
  <si>
    <t xml:space="preserve">ES46469</t>
  </si>
  <si>
    <t xml:space="preserve">AVDA REAL DE MADRID NORTE, 70</t>
  </si>
  <si>
    <t xml:space="preserve">BENIPARRELL</t>
  </si>
  <si>
    <t xml:space="preserve">ventas@martincatalan.es</t>
  </si>
  <si>
    <t xml:space="preserve">961212462</t>
  </si>
  <si>
    <t xml:space="preserve">TAIG</t>
  </si>
  <si>
    <t xml:space="preserve">4000010653</t>
  </si>
  <si>
    <t xml:space="preserve">26/04/24: Plazos de entrega 48h preparación pedido + 48h entrega</t>
  </si>
  <si>
    <t xml:space="preserve">__import__.res_partner_20000010655</t>
  </si>
  <si>
    <t xml:space="preserve">20000010655</t>
  </si>
  <si>
    <t xml:space="preserve">MARIA MANUELA RIBEIRO LOPES</t>
  </si>
  <si>
    <t xml:space="preserve">ESX1244876R</t>
  </si>
  <si>
    <t xml:space="preserve">MANUEL RODRÍGUEZ 30 BAJO</t>
  </si>
  <si>
    <t xml:space="preserve">PORRIÑO, O (SANTA MARIA)</t>
  </si>
  <si>
    <t xml:space="preserve">626 97 37 39 </t>
  </si>
  <si>
    <t xml:space="preserve">TELAS Y LABORES MANUELA</t>
  </si>
  <si>
    <t xml:space="preserve">4000010655</t>
  </si>
  <si>
    <t xml:space="preserve">__import__.res_partner_20000010656</t>
  </si>
  <si>
    <t xml:space="preserve">20000010656</t>
  </si>
  <si>
    <t xml:space="preserve">FEITO, S.L.</t>
  </si>
  <si>
    <t xml:space="preserve">ESB36642858</t>
  </si>
  <si>
    <t xml:space="preserve">SEVERINO COBAS, 67 INT</t>
  </si>
  <si>
    <t xml:space="preserve">986 274 594</t>
  </si>
  <si>
    <t xml:space="preserve">IMPRENTA FEITO</t>
  </si>
  <si>
    <t xml:space="preserve">4000010656</t>
  </si>
  <si>
    <t xml:space="preserve">__import__.res_partner_20000010657</t>
  </si>
  <si>
    <t xml:space="preserve">20000010657</t>
  </si>
  <si>
    <t xml:space="preserve">C.E. ADAMS, EDICIONES VALBUENA, S.A.</t>
  </si>
  <si>
    <t xml:space="preserve">ESA28813244</t>
  </si>
  <si>
    <t xml:space="preserve">NARCISO SERRA, 14</t>
  </si>
  <si>
    <t xml:space="preserve">CENTRO DE ESTUDIOS ADAMS</t>
  </si>
  <si>
    <t xml:space="preserve">4000010657</t>
  </si>
  <si>
    <t xml:space="preserve">__import__.res_partner_20000010658</t>
  </si>
  <si>
    <t xml:space="preserve">20000010658</t>
  </si>
  <si>
    <t xml:space="preserve">EUROPRICE- COM. E REP., SOC. UNIP. LDA.</t>
  </si>
  <si>
    <t xml:space="preserve">PT504053981</t>
  </si>
  <si>
    <t xml:space="preserve">3140-562</t>
  </si>
  <si>
    <t xml:space="preserve">QTA. STO. ANTÓNIO, ARm. 1</t>
  </si>
  <si>
    <t xml:space="preserve">TENTÚGAL</t>
  </si>
  <si>
    <t xml:space="preserve">geral@europrice.com</t>
  </si>
  <si>
    <t xml:space="preserve">+351 239835670</t>
  </si>
  <si>
    <t xml:space="preserve">EUROPRICE</t>
  </si>
  <si>
    <t xml:space="preserve">4000010658</t>
  </si>
  <si>
    <t xml:space="preserve">__import__.res_partner_20000010659</t>
  </si>
  <si>
    <t xml:space="preserve">20000010659</t>
  </si>
  <si>
    <t xml:space="preserve">ST-97, TRANSPORTE Y LOGISTICA, S.L.</t>
  </si>
  <si>
    <t xml:space="preserve">ESB36832038</t>
  </si>
  <si>
    <t xml:space="preserve">POL. IND. REBULLON NAVE 11 A PORTELA</t>
  </si>
  <si>
    <t xml:space="preserve">GALIPORT</t>
  </si>
  <si>
    <t xml:space="preserve">4000010659</t>
  </si>
  <si>
    <t xml:space="preserve">__import__.res_partner_20000010660</t>
  </si>
  <si>
    <t xml:space="preserve">20000010660</t>
  </si>
  <si>
    <t xml:space="preserve">GARAJE CHICHO, S.L.U</t>
  </si>
  <si>
    <t xml:space="preserve">ESB01642073</t>
  </si>
  <si>
    <t xml:space="preserve">PRAZA DAS AMERICAS, 1</t>
  </si>
  <si>
    <t xml:space="preserve">981 820 543</t>
  </si>
  <si>
    <t xml:space="preserve">4000010660</t>
  </si>
  <si>
    <t xml:space="preserve">__import__.res_partner_20000010661</t>
  </si>
  <si>
    <t xml:space="preserve">20000010661</t>
  </si>
  <si>
    <t xml:space="preserve">REDISALCO, S.L.</t>
  </si>
  <si>
    <t xml:space="preserve">ESB27851955</t>
  </si>
  <si>
    <t xml:space="preserve">POL. AS GANDARAS PARC 22</t>
  </si>
  <si>
    <t xml:space="preserve">GANDARAS, AS (POLIGONO INDUSTRIAL)</t>
  </si>
  <si>
    <t xml:space="preserve">986342312</t>
  </si>
  <si>
    <t xml:space="preserve">SALCO TALLERES</t>
  </si>
  <si>
    <t xml:space="preserve">4000010661</t>
  </si>
  <si>
    <t xml:space="preserve">__import__.res_partner_20000010662</t>
  </si>
  <si>
    <t xml:space="preserve">20000010662</t>
  </si>
  <si>
    <t xml:space="preserve">ALMA MARIA CARBAJAL DE LA IGLESIA</t>
  </si>
  <si>
    <t xml:space="preserve">ES44811106E</t>
  </si>
  <si>
    <t xml:space="preserve">AVDA GALICIA, 11, 1ºB-C</t>
  </si>
  <si>
    <t xml:space="preserve">PONTEAREAS (CASCO URBANO)</t>
  </si>
  <si>
    <t xml:space="preserve">NOTARIA PONTEAREAS</t>
  </si>
  <si>
    <t xml:space="preserve">4000010662</t>
  </si>
  <si>
    <t xml:space="preserve">__import__.res_partner_20000010663</t>
  </si>
  <si>
    <t xml:space="preserve">20000010663</t>
  </si>
  <si>
    <t xml:space="preserve">TRANSPORTES AUTO RADIO, S.A</t>
  </si>
  <si>
    <t xml:space="preserve">ESA15080773</t>
  </si>
  <si>
    <t xml:space="preserve">PARQUE TECNOL. Y LOGISTICO PARC.5B</t>
  </si>
  <si>
    <t xml:space="preserve">administracion.361@tautoradio.com</t>
  </si>
  <si>
    <t xml:space="preserve">986 42 5711</t>
  </si>
  <si>
    <t xml:space="preserve">4000010663</t>
  </si>
  <si>
    <r>
      <rPr>
        <sz val="11"/>
        <color rgb="FF000000"/>
        <rFont val="Calibri"/>
        <family val="2"/>
        <charset val="1"/>
      </rPr>
      <t xml:space="preserve">UISUARIO 36136719
</t>
    </r>
    <r>
      <rPr>
        <sz val="10"/>
        <color rgb="FF000000"/>
        <rFont val="Arial"/>
        <family val="2"/>
        <charset val="1"/>
      </rPr>
      <t xml:space="preserve">CONTRASEÑA #Dous2023</t>
    </r>
  </si>
  <si>
    <t xml:space="preserve">__import__.res_partner_20000010666</t>
  </si>
  <si>
    <t xml:space="preserve">20000010666</t>
  </si>
  <si>
    <t xml:space="preserve">HEVA DETER HISPANICA, S.L.</t>
  </si>
  <si>
    <t xml:space="preserve">ESB27718964</t>
  </si>
  <si>
    <t xml:space="preserve">PPI 7, PARC K NAVE C-2</t>
  </si>
  <si>
    <t xml:space="preserve">pedidos@zorka.net</t>
  </si>
  <si>
    <t xml:space="preserve">986 346 070</t>
  </si>
  <si>
    <t xml:space="preserve">ZORKA</t>
  </si>
  <si>
    <t xml:space="preserve">4000010666</t>
  </si>
  <si>
    <t xml:space="preserve">__import__.res_partner_20000010667</t>
  </si>
  <si>
    <t xml:space="preserve">20000010667</t>
  </si>
  <si>
    <t xml:space="preserve">VERSA HOME, S.A.</t>
  </si>
  <si>
    <t xml:space="preserve">ESA48184816</t>
  </si>
  <si>
    <t xml:space="preserve">48004</t>
  </si>
  <si>
    <t xml:space="preserve">CRTA. BILBAO GALDACANO, 32</t>
  </si>
  <si>
    <t xml:space="preserve">BILBAO</t>
  </si>
  <si>
    <t xml:space="preserve">944 341 400</t>
  </si>
  <si>
    <t xml:space="preserve">4000010667</t>
  </si>
  <si>
    <t xml:space="preserve">__import__.res_partner_20000010668</t>
  </si>
  <si>
    <t xml:space="preserve">20000010668</t>
  </si>
  <si>
    <t xml:space="preserve">IGNACIO DE LAS CUEVAS, S.A</t>
  </si>
  <si>
    <t xml:space="preserve">ESA08484107</t>
  </si>
  <si>
    <t xml:space="preserve">CIDADE DO TRANSPORTE PARCELA E1-F1</t>
  </si>
  <si>
    <t xml:space="preserve">SAN CIBRAO DAS VIÑAS</t>
  </si>
  <si>
    <t xml:space="preserve">988 211 013</t>
  </si>
  <si>
    <t xml:space="preserve">CUEVAS</t>
  </si>
  <si>
    <t xml:space="preserve">4000010668</t>
  </si>
  <si>
    <t xml:space="preserve">__import__.res_partner_20000010669</t>
  </si>
  <si>
    <t xml:space="preserve">20000010669</t>
  </si>
  <si>
    <t xml:space="preserve">CLIO STYLE IMP. &amp; EXP. LDA</t>
  </si>
  <si>
    <t xml:space="preserve">PT515751529</t>
  </si>
  <si>
    <t xml:space="preserve">2710-041</t>
  </si>
  <si>
    <t xml:space="preserve">FONTE PEREIRA DE MELO, 10 - ABRUNHEIRA</t>
  </si>
  <si>
    <t xml:space="preserve">SINTRA</t>
  </si>
  <si>
    <t xml:space="preserve">geral@cliostyle.pt</t>
  </si>
  <si>
    <t xml:space="preserve">+351 219 184181</t>
  </si>
  <si>
    <t xml:space="preserve">CLIO STYLE</t>
  </si>
  <si>
    <t xml:space="preserve">4000010669</t>
  </si>
  <si>
    <t xml:space="preserve">__import__.res_partner_20000010670</t>
  </si>
  <si>
    <t xml:space="preserve">20000010670</t>
  </si>
  <si>
    <t xml:space="preserve">DOBER CRISTALERIA, S.L.</t>
  </si>
  <si>
    <t xml:space="preserve">ESB36563997</t>
  </si>
  <si>
    <t xml:space="preserve">CL. ROSALÍA DE CASTRO 53 BAJO</t>
  </si>
  <si>
    <t xml:space="preserve">986 65 94 14</t>
  </si>
  <si>
    <t xml:space="preserve">4000010670</t>
  </si>
  <si>
    <t xml:space="preserve">__import__.res_partner_20000010671</t>
  </si>
  <si>
    <t xml:space="preserve">20000010671</t>
  </si>
  <si>
    <t xml:space="preserve">ESTANTERIAS DYNAMIS, S.L.</t>
  </si>
  <si>
    <t xml:space="preserve">ESB19332659</t>
  </si>
  <si>
    <t xml:space="preserve">19208</t>
  </si>
  <si>
    <t xml:space="preserve">CL. FEDERICO GARCIA LORCA, 10</t>
  </si>
  <si>
    <t xml:space="preserve">ALOVERA</t>
  </si>
  <si>
    <t xml:space="preserve">administracion@dynamis-sl.com</t>
  </si>
  <si>
    <t xml:space="preserve">4000010671</t>
  </si>
  <si>
    <t xml:space="preserve">__import__.res_partner_20000010672</t>
  </si>
  <si>
    <t xml:space="preserve">20000010672</t>
  </si>
  <si>
    <t xml:space="preserve">ROGELIO FERNANDEZ VIEITO</t>
  </si>
  <si>
    <t xml:space="preserve">ES35546645F</t>
  </si>
  <si>
    <t xml:space="preserve">AVDA DOMINGO BUENO, 64</t>
  </si>
  <si>
    <t xml:space="preserve">986 07 4405</t>
  </si>
  <si>
    <t xml:space="preserve">FER</t>
  </si>
  <si>
    <t xml:space="preserve">4000010672</t>
  </si>
  <si>
    <t xml:space="preserve">__import__.res_partner_20000010673</t>
  </si>
  <si>
    <t xml:space="preserve">20000010673</t>
  </si>
  <si>
    <t xml:space="preserve">XFERA MOVILES, S.A.U</t>
  </si>
  <si>
    <t xml:space="preserve">ESA82528548</t>
  </si>
  <si>
    <t xml:space="preserve">AVDA BRUSELAS, 38</t>
  </si>
  <si>
    <t xml:space="preserve">YOIGO</t>
  </si>
  <si>
    <t xml:space="preserve">4000010673</t>
  </si>
  <si>
    <t xml:space="preserve">__import__.res_partner_20000010674</t>
  </si>
  <si>
    <t xml:space="preserve">20000010674</t>
  </si>
  <si>
    <t xml:space="preserve">RED ESPAÑOLA DE SERVICIOS, S.A.U</t>
  </si>
  <si>
    <t xml:space="preserve">ESA25009192</t>
  </si>
  <si>
    <t xml:space="preserve">PASEO DE LA CASTELLANA, 259A</t>
  </si>
  <si>
    <t xml:space="preserve">RESSA</t>
  </si>
  <si>
    <t xml:space="preserve">4000010674</t>
  </si>
  <si>
    <t xml:space="preserve">__import__.res_partner_20000010675</t>
  </si>
  <si>
    <t xml:space="preserve">20000010675</t>
  </si>
  <si>
    <t xml:space="preserve">FRANCISCO JAVIER VARELA GONZALEZ</t>
  </si>
  <si>
    <t xml:space="preserve">ES35538757P</t>
  </si>
  <si>
    <t xml:space="preserve">C/DOMINGO BUENO, 8, ENTLO.</t>
  </si>
  <si>
    <t xml:space="preserve">986338925</t>
  </si>
  <si>
    <t xml:space="preserve">PROCURADOR</t>
  </si>
  <si>
    <t xml:space="preserve">4000010675</t>
  </si>
  <si>
    <t xml:space="preserve">__import__.res_partner_20000010676</t>
  </si>
  <si>
    <t xml:space="preserve">20000010676</t>
  </si>
  <si>
    <t xml:space="preserve">VEGO SUPERMERCADOS, S.A.U</t>
  </si>
  <si>
    <t xml:space="preserve">ESA36651313</t>
  </si>
  <si>
    <t xml:space="preserve">C/GAMBRINUS 9-11</t>
  </si>
  <si>
    <t xml:space="preserve">VEGO SUPERMERCADOS</t>
  </si>
  <si>
    <t xml:space="preserve">4000010676</t>
  </si>
  <si>
    <t xml:space="preserve">__import__.res_partner_20000010677</t>
  </si>
  <si>
    <t xml:space="preserve">20000010677</t>
  </si>
  <si>
    <t xml:space="preserve">AGEITOS REGO SERVICIOS DE MANTENIMIENTO, S.L.</t>
  </si>
  <si>
    <t xml:space="preserve">ESB70530118</t>
  </si>
  <si>
    <t xml:space="preserve">C/ EMILIA PARDO BAZAN 5 ENTRESUELO</t>
  </si>
  <si>
    <t xml:space="preserve">RIBEIRA </t>
  </si>
  <si>
    <t xml:space="preserve">AR</t>
  </si>
  <si>
    <t xml:space="preserve">4000010677</t>
  </si>
  <si>
    <t xml:space="preserve">__import__.res_partner_20000010678</t>
  </si>
  <si>
    <t xml:space="preserve">20000010678</t>
  </si>
  <si>
    <t xml:space="preserve">RECLAMOS DEL NOROESTE, S.L.</t>
  </si>
  <si>
    <t xml:space="preserve">ESB15454077</t>
  </si>
  <si>
    <t xml:space="preserve">15578</t>
  </si>
  <si>
    <t xml:space="preserve">TONELEIROS, NAVE W4</t>
  </si>
  <si>
    <t xml:space="preserve">NARON</t>
  </si>
  <si>
    <t xml:space="preserve">981 390 505</t>
  </si>
  <si>
    <t xml:space="preserve">4000010678</t>
  </si>
  <si>
    <t xml:space="preserve">__import__.res_partner_20000010679</t>
  </si>
  <si>
    <t xml:space="preserve">20000010679</t>
  </si>
  <si>
    <t xml:space="preserve">JORJAPA, S.L.</t>
  </si>
  <si>
    <t xml:space="preserve">ESB36902955</t>
  </si>
  <si>
    <t xml:space="preserve">36370</t>
  </si>
  <si>
    <t xml:space="preserve">RUA ROMANA BAIXA, 6</t>
  </si>
  <si>
    <t xml:space="preserve">NIGRAN</t>
  </si>
  <si>
    <t xml:space="preserve">986 350 824</t>
  </si>
  <si>
    <t xml:space="preserve">4000010679</t>
  </si>
  <si>
    <t xml:space="preserve">__import__.res_partner_20000010680</t>
  </si>
  <si>
    <t xml:space="preserve">20000010680</t>
  </si>
  <si>
    <t xml:space="preserve">CONSTRUCCIONES REGINO GIRALDEZ BOO, S.A</t>
  </si>
  <si>
    <t xml:space="preserve">ESA36041804</t>
  </si>
  <si>
    <t xml:space="preserve">CL. CASTAÑAL 14 BJ</t>
  </si>
  <si>
    <t xml:space="preserve">986 640 789</t>
  </si>
  <si>
    <t xml:space="preserve">CONSTRUCCIONES REGINO</t>
  </si>
  <si>
    <t xml:space="preserve">4000010680</t>
  </si>
  <si>
    <t xml:space="preserve">__import__.res_partner_20000010681</t>
  </si>
  <si>
    <t xml:space="preserve">20000010681</t>
  </si>
  <si>
    <t xml:space="preserve">JOSE MANUEL ALFAYA RODRIGUEZ</t>
  </si>
  <si>
    <t xml:space="preserve">ES35552059Q</t>
  </si>
  <si>
    <t xml:space="preserve">CL. REAL S/N</t>
  </si>
  <si>
    <t xml:space="preserve">COMPRA VTA ALFAUTO</t>
  </si>
  <si>
    <t xml:space="preserve">4000010681</t>
  </si>
  <si>
    <t xml:space="preserve">__import__.res_partner_20000010682</t>
  </si>
  <si>
    <t xml:space="preserve">20000010682</t>
  </si>
  <si>
    <t xml:space="preserve">NEW LINE SENPOL, S.L.</t>
  </si>
  <si>
    <t xml:space="preserve">ESB67166504</t>
  </si>
  <si>
    <t xml:space="preserve">C/EDUARD FONTSERÉ 13-15</t>
  </si>
  <si>
    <t xml:space="preserve">sh@gifts4all.eu</t>
  </si>
  <si>
    <t xml:space="preserve">931 195 330</t>
  </si>
  <si>
    <t xml:space="preserve">SENPOL</t>
  </si>
  <si>
    <t xml:space="preserve">4000010682</t>
  </si>
  <si>
    <t xml:space="preserve">__import__.res_partner_20000010683</t>
  </si>
  <si>
    <t xml:space="preserve">20000010683</t>
  </si>
  <si>
    <t xml:space="preserve">SORT IMPORT S.L.</t>
  </si>
  <si>
    <t xml:space="preserve">ESB65382251</t>
  </si>
  <si>
    <t xml:space="preserve">08550</t>
  </si>
  <si>
    <t xml:space="preserve">LA BÓBILA3 - P.I BÓBILA</t>
  </si>
  <si>
    <t xml:space="preserve">HOSTALETS DE BALENYA, ELS (BALENYÀ)</t>
  </si>
  <si>
    <t xml:space="preserve">938820777</t>
  </si>
  <si>
    <t xml:space="preserve">SORT IMPORT</t>
  </si>
  <si>
    <t xml:space="preserve">4000010683</t>
  </si>
  <si>
    <t xml:space="preserve">__import__.res_partner_20000010684</t>
  </si>
  <si>
    <t xml:space="preserve">20000010684</t>
  </si>
  <si>
    <t xml:space="preserve">ADUNA 2021, S.A.U.</t>
  </si>
  <si>
    <t xml:space="preserve">ESA20075156</t>
  </si>
  <si>
    <t xml:space="preserve">POL. HAIZPEA, 1</t>
  </si>
  <si>
    <t xml:space="preserve">ADUNA</t>
  </si>
  <si>
    <t xml:space="preserve">pedidos@almacencentraldelibreria.com</t>
  </si>
  <si>
    <t xml:space="preserve">ACL</t>
  </si>
  <si>
    <t xml:space="preserve">4000010684</t>
  </si>
  <si>
    <r>
      <rPr>
        <sz val="11"/>
        <color rgb="FF000000"/>
        <rFont val="Calibri"/>
        <family val="2"/>
        <charset val="1"/>
      </rPr>
      <t xml:space="preserve">Usuario: 7104066
</t>
    </r>
    <r>
      <rPr>
        <sz val="10"/>
        <color rgb="FF000000"/>
        <rFont val="Arial"/>
        <family val="2"/>
        <charset val="1"/>
      </rPr>
      <t xml:space="preserve">Chave: 151620dous</t>
    </r>
  </si>
  <si>
    <t xml:space="preserve">__import__.res_partner_20000010685</t>
  </si>
  <si>
    <t xml:space="preserve">20000010685</t>
  </si>
  <si>
    <t xml:space="preserve">SGEL LIBROS, S.L.</t>
  </si>
  <si>
    <t xml:space="preserve">ESB01786037</t>
  </si>
  <si>
    <t xml:space="preserve">AV. VALDEPARRA, 29</t>
  </si>
  <si>
    <t xml:space="preserve">4000010685</t>
  </si>
  <si>
    <r>
      <rPr>
        <sz val="11"/>
        <color rgb="FF000000"/>
        <rFont val="Calibri"/>
        <family val="2"/>
        <charset val="1"/>
      </rPr>
      <t xml:space="preserve">Usuario: 3966264
</t>
    </r>
    <r>
      <rPr>
        <sz val="10"/>
        <color rgb="FF000000"/>
        <rFont val="Arial"/>
        <family val="2"/>
        <charset val="1"/>
      </rPr>
      <t xml:space="preserve">CHAVE:#Dous2011</t>
    </r>
  </si>
  <si>
    <t xml:space="preserve">__import__.res_partner_20000010689</t>
  </si>
  <si>
    <t xml:space="preserve">20000010689</t>
  </si>
  <si>
    <t xml:space="preserve">MAX SAUER, S.A.S </t>
  </si>
  <si>
    <t xml:space="preserve">FR5049678001</t>
  </si>
  <si>
    <t xml:space="preserve">22002</t>
  </si>
  <si>
    <t xml:space="preserve">2, RUE LAMARCK CS30204</t>
  </si>
  <si>
    <t xml:space="preserve">SAINT BRIEUC </t>
  </si>
  <si>
    <t xml:space="preserve">RAPHAËL</t>
  </si>
  <si>
    <t xml:space="preserve">4000010689</t>
  </si>
  <si>
    <t xml:space="preserve">__import__.res_partner_20000010690</t>
  </si>
  <si>
    <t xml:space="preserve">20000010690</t>
  </si>
  <si>
    <t xml:space="preserve">DISMALIBRO, S.L.</t>
  </si>
  <si>
    <t xml:space="preserve">ESB92716885</t>
  </si>
  <si>
    <t xml:space="preserve">BODEGUEROS, 50</t>
  </si>
  <si>
    <t xml:space="preserve">952 348 874</t>
  </si>
  <si>
    <t xml:space="preserve">4000010690</t>
  </si>
  <si>
    <t xml:space="preserve">__import__.res_partner_20000010691</t>
  </si>
  <si>
    <t xml:space="preserve">20000010691</t>
  </si>
  <si>
    <t xml:space="preserve">ANGEL DEL POZO REDONDO</t>
  </si>
  <si>
    <t xml:space="preserve">ES25325866Z</t>
  </si>
  <si>
    <t xml:space="preserve">PZ. CALDERON DE LA BARCA, 8 1ºB</t>
  </si>
  <si>
    <t xml:space="preserve">infoaconcagualibros@gmail.com</t>
  </si>
  <si>
    <t xml:space="preserve">ACONCAGUA LIBROS</t>
  </si>
  <si>
    <t xml:space="preserve">4000010691</t>
  </si>
  <si>
    <t xml:space="preserve">__import__.res_partner_20000010692</t>
  </si>
  <si>
    <t xml:space="preserve">20000010692</t>
  </si>
  <si>
    <t xml:space="preserve">HELIOS ENERGIA INTELIGENTE, S.L.</t>
  </si>
  <si>
    <t xml:space="preserve">ESB05299193</t>
  </si>
  <si>
    <t xml:space="preserve">C/SIGFRIDO, 1, 2ª, OF. 2</t>
  </si>
  <si>
    <t xml:space="preserve">info@heliosenergia.es</t>
  </si>
  <si>
    <t xml:space="preserve">800 808 585</t>
  </si>
  <si>
    <t xml:space="preserve">HELIOS ENERGIA</t>
  </si>
  <si>
    <t xml:space="preserve">4000010692</t>
  </si>
  <si>
    <t xml:space="preserve">__import__.res_partner_20000010693</t>
  </si>
  <si>
    <t xml:space="preserve">20000010693</t>
  </si>
  <si>
    <t xml:space="preserve">ALCAMPO, S.A</t>
  </si>
  <si>
    <t xml:space="preserve">ESA28581882</t>
  </si>
  <si>
    <t xml:space="preserve">28029</t>
  </si>
  <si>
    <t xml:space="preserve">CL. SANTIAGO DE COMPOSTELA SUR S/N</t>
  </si>
  <si>
    <t xml:space="preserve">EDIF OFICINA LA VAGUADA </t>
  </si>
  <si>
    <t xml:space="preserve">4000010693</t>
  </si>
  <si>
    <t xml:space="preserve">__import__.res_partner_20000010694</t>
  </si>
  <si>
    <t xml:space="preserve">20000010694</t>
  </si>
  <si>
    <t xml:space="preserve">GONZALEZ COUCEIRO, S.L.U</t>
  </si>
  <si>
    <t xml:space="preserve">ESB36179299</t>
  </si>
  <si>
    <t xml:space="preserve">P.I AS GANDARAS PARCELA 8B</t>
  </si>
  <si>
    <t xml:space="preserve">info@grcouceiro.com</t>
  </si>
  <si>
    <t xml:space="preserve">986 33 19 80</t>
  </si>
  <si>
    <t xml:space="preserve">COUCEIRO</t>
  </si>
  <si>
    <t xml:space="preserve">4000010694</t>
  </si>
  <si>
    <t xml:space="preserve">__import__.res_partner_20000010695</t>
  </si>
  <si>
    <t xml:space="preserve">20000010695</t>
  </si>
  <si>
    <t xml:space="preserve">NICOLEIROS, S.L.</t>
  </si>
  <si>
    <t xml:space="preserve">ESB32433302</t>
  </si>
  <si>
    <t xml:space="preserve">32001</t>
  </si>
  <si>
    <t xml:space="preserve">RÍO ARENTEIRO, 28</t>
  </si>
  <si>
    <t xml:space="preserve">info@nicoleiros.com</t>
  </si>
  <si>
    <t xml:space="preserve">691202223</t>
  </si>
  <si>
    <t xml:space="preserve">NICOLEIROS</t>
  </si>
  <si>
    <t xml:space="preserve">4000010695</t>
  </si>
  <si>
    <t xml:space="preserve">__import__.res_partner_20000010696</t>
  </si>
  <si>
    <t xml:space="preserve">20000010696</t>
  </si>
  <si>
    <t xml:space="preserve">CERRAJERÍA ALOIA, S.L.U</t>
  </si>
  <si>
    <t xml:space="preserve">ESB36520799</t>
  </si>
  <si>
    <t xml:space="preserve">PAZOS DE REYES - PORTELIÑA, 22</t>
  </si>
  <si>
    <t xml:space="preserve">info@cerrajeriaaloia.es</t>
  </si>
  <si>
    <t xml:space="preserve">986 602 062</t>
  </si>
  <si>
    <t xml:space="preserve">4000010696</t>
  </si>
  <si>
    <t xml:space="preserve">__import__.res_partner_20000010697</t>
  </si>
  <si>
    <t xml:space="preserve">20000010697</t>
  </si>
  <si>
    <t xml:space="preserve">FERRETERÍA TUI, S.L.</t>
  </si>
  <si>
    <t xml:space="preserve">ESB44703379</t>
  </si>
  <si>
    <t xml:space="preserve">AUGUSTO GLEZ BESADA 2 BJ</t>
  </si>
  <si>
    <t xml:space="preserve">986 600 261</t>
  </si>
  <si>
    <t xml:space="preserve">4000010697</t>
  </si>
  <si>
    <t xml:space="preserve">__import__.res_partner_20000010698</t>
  </si>
  <si>
    <t xml:space="preserve">20000010698</t>
  </si>
  <si>
    <t xml:space="preserve">LUMA WAY, S.L.</t>
  </si>
  <si>
    <t xml:space="preserve">ESB02538460</t>
  </si>
  <si>
    <t xml:space="preserve">02005</t>
  </si>
  <si>
    <t xml:space="preserve">PASEO LA CUBA, 19 7º</t>
  </si>
  <si>
    <t xml:space="preserve">LUMA WAY</t>
  </si>
  <si>
    <t xml:space="preserve">4000010698</t>
  </si>
  <si>
    <t xml:space="preserve">__import__.res_partner_20000010700</t>
  </si>
  <si>
    <t xml:space="preserve">20000010700</t>
  </si>
  <si>
    <t xml:space="preserve">REYES MARTINEZ HERNANDEZ</t>
  </si>
  <si>
    <t xml:space="preserve">ES11825854J</t>
  </si>
  <si>
    <t xml:space="preserve">33204</t>
  </si>
  <si>
    <t xml:space="preserve">NIORT, 9 3ºC</t>
  </si>
  <si>
    <t xml:space="preserve">AUTOEDICIÓN RUBRIC</t>
  </si>
  <si>
    <t xml:space="preserve">4000010700</t>
  </si>
  <si>
    <t xml:space="preserve">__import__.res_partner_20000010701</t>
  </si>
  <si>
    <t xml:space="preserve">20000010701</t>
  </si>
  <si>
    <t xml:space="preserve">ORBE FORMACION TECNOLOGICA Y DISTRIBUCION, S.L.</t>
  </si>
  <si>
    <t xml:space="preserve">ESB19597244</t>
  </si>
  <si>
    <t xml:space="preserve">4000010701</t>
  </si>
  <si>
    <t xml:space="preserve">__import__.res_partner_20000010702</t>
  </si>
  <si>
    <t xml:space="preserve">20000010702</t>
  </si>
  <si>
    <t xml:space="preserve">IMPRIME TU LETRA, S.L.</t>
  </si>
  <si>
    <t xml:space="preserve">ESB88609185</t>
  </si>
  <si>
    <t xml:space="preserve">CAMINO DEL ALAMO, 31</t>
  </si>
  <si>
    <t xml:space="preserve">OFICINAS@PICTOCIENCIA.ES</t>
  </si>
  <si>
    <t xml:space="preserve">910 283 917</t>
  </si>
  <si>
    <t xml:space="preserve">ES1220859283790330459537</t>
  </si>
  <si>
    <t xml:space="preserve">PICTOCIENCIA</t>
  </si>
  <si>
    <t xml:space="preserve">4000010702</t>
  </si>
  <si>
    <t xml:space="preserve">__import__.res_partner_20000010703</t>
  </si>
  <si>
    <t xml:space="preserve">20000010703</t>
  </si>
  <si>
    <t xml:space="preserve">INDUSTRIAS FRANCISCO BOTELLA, S.L.</t>
  </si>
  <si>
    <t xml:space="preserve">ESB56270176</t>
  </si>
  <si>
    <t xml:space="preserve">08130</t>
  </si>
  <si>
    <t xml:space="preserve">CL. CATALUNYA 13, NAVE 2-17</t>
  </si>
  <si>
    <t xml:space="preserve">SANTA PERPETUA DE MOGODA</t>
  </si>
  <si>
    <t xml:space="preserve">info@ifb.es</t>
  </si>
  <si>
    <t xml:space="preserve">933873600</t>
  </si>
  <si>
    <t xml:space="preserve">IFB</t>
  </si>
  <si>
    <t xml:space="preserve">4000010703</t>
  </si>
  <si>
    <t xml:space="preserve">__import__.res_partner_20000010704</t>
  </si>
  <si>
    <t xml:space="preserve">20000010704</t>
  </si>
  <si>
    <t xml:space="preserve">INMACULADA BELEN SOTO IGLESIAS</t>
  </si>
  <si>
    <t xml:space="preserve">ES44475059M</t>
  </si>
  <si>
    <t xml:space="preserve">32003</t>
  </si>
  <si>
    <t xml:space="preserve">HABANA, 9 7º</t>
  </si>
  <si>
    <t xml:space="preserve">nosoconto@gmail.com</t>
  </si>
  <si>
    <t xml:space="preserve">653 381 549</t>
  </si>
  <si>
    <t xml:space="preserve">AUTOEDICION</t>
  </si>
  <si>
    <t xml:space="preserve">4000010704</t>
  </si>
  <si>
    <t xml:space="preserve">__import__.res_partner_20000010705</t>
  </si>
  <si>
    <t xml:space="preserve">20000010705</t>
  </si>
  <si>
    <t xml:space="preserve">DAVID CARBALLAL ESTUDIO GRAFICO, S.L.</t>
  </si>
  <si>
    <t xml:space="preserve">ESB15628464</t>
  </si>
  <si>
    <t xml:space="preserve">JUANA DE VEGA, 13 3º</t>
  </si>
  <si>
    <t xml:space="preserve">981 205 906</t>
  </si>
  <si>
    <t xml:space="preserve">A CHALANA EDITORIAL</t>
  </si>
  <si>
    <t xml:space="preserve">4000010705</t>
  </si>
  <si>
    <t xml:space="preserve">__import__.res_partner_20000010707</t>
  </si>
  <si>
    <t xml:space="preserve">20000010707</t>
  </si>
  <si>
    <t xml:space="preserve">NEW REC LINE, S.L.</t>
  </si>
  <si>
    <t xml:space="preserve">ESB73356206</t>
  </si>
  <si>
    <t xml:space="preserve">30850</t>
  </si>
  <si>
    <t xml:space="preserve">P.I EL SALADAR - CL. LOS CHARCOS, 8</t>
  </si>
  <si>
    <t xml:space="preserve">TOTANA</t>
  </si>
  <si>
    <t xml:space="preserve">info@rec-line.com</t>
  </si>
  <si>
    <t xml:space="preserve">REC LINE</t>
  </si>
  <si>
    <t xml:space="preserve">4000010707</t>
  </si>
  <si>
    <t xml:space="preserve">redes@trazos.com
#dous2011</t>
  </si>
  <si>
    <t xml:space="preserve">__import__.res_partner_20000010708</t>
  </si>
  <si>
    <t xml:space="preserve">20000010708</t>
  </si>
  <si>
    <t xml:space="preserve">VIDEOCINCO, S.A.</t>
  </si>
  <si>
    <t xml:space="preserve">ESA28768554</t>
  </si>
  <si>
    <t xml:space="preserve">AV. DE LA VICTORIA, 70</t>
  </si>
  <si>
    <t xml:space="preserve">pedidos@videocinco.com</t>
  </si>
  <si>
    <t xml:space="preserve">915429590</t>
  </si>
  <si>
    <t xml:space="preserve">VIDEOCINCO EDITORIAL</t>
  </si>
  <si>
    <t xml:space="preserve">4000010708</t>
  </si>
  <si>
    <t xml:space="preserve">__import__.res_partner_20000010709</t>
  </si>
  <si>
    <t xml:space="preserve">20000010709</t>
  </si>
  <si>
    <t xml:space="preserve">XGIMI TECHNOLOGY CO. LTD</t>
  </si>
  <si>
    <t xml:space="preserve">IT0917058121</t>
  </si>
  <si>
    <t xml:space="preserve">610041</t>
  </si>
  <si>
    <t xml:space="preserve">AREA A, 1126 ROAD SHIJICHENG BUILDING A4</t>
  </si>
  <si>
    <t xml:space="preserve">CHENGDUM GAOXINQN, PILOT FREE TRADE ZONE</t>
  </si>
  <si>
    <t xml:space="preserve">XGIMI</t>
  </si>
  <si>
    <t xml:space="preserve">4000010709</t>
  </si>
  <si>
    <t xml:space="preserve">__import__.res_partner_20000010711</t>
  </si>
  <si>
    <t xml:space="preserve">20000010711</t>
  </si>
  <si>
    <t xml:space="preserve">OPTIMA VENTAS, S.L.</t>
  </si>
  <si>
    <t xml:space="preserve">ESB70447792</t>
  </si>
  <si>
    <t xml:space="preserve">15005</t>
  </si>
  <si>
    <t xml:space="preserve">C/ MEDICO DURÁN, 25 BAJO</t>
  </si>
  <si>
    <t xml:space="preserve">A CORUñA</t>
  </si>
  <si>
    <t xml:space="preserve">comercial@optimaventas.com</t>
  </si>
  <si>
    <t xml:space="preserve">661 500 523</t>
  </si>
  <si>
    <t xml:space="preserve">4000010711</t>
  </si>
  <si>
    <t xml:space="preserve">__import__.res_partner_20000010712</t>
  </si>
  <si>
    <t xml:space="preserve">20000010712</t>
  </si>
  <si>
    <t xml:space="preserve">MCR INFO ELECTRONIC, S.L.</t>
  </si>
  <si>
    <t xml:space="preserve">ESB82766452</t>
  </si>
  <si>
    <t xml:space="preserve">C/ROSALIND FRANKLIN, 26</t>
  </si>
  <si>
    <t xml:space="preserve">eduardo.delolmo@abmaterials.es</t>
  </si>
  <si>
    <t xml:space="preserve">914 400 700</t>
  </si>
  <si>
    <t xml:space="preserve">AB MATERIALS</t>
  </si>
  <si>
    <t xml:space="preserve">4000010712</t>
  </si>
  <si>
    <t xml:space="preserve">contabilidade@doustrazos.com
Dous2011</t>
  </si>
  <si>
    <t xml:space="preserve">__import__.res_partner_20000010713</t>
  </si>
  <si>
    <t xml:space="preserve">20000010713</t>
  </si>
  <si>
    <t xml:space="preserve">ENNOVATIVE ECOMMERCE INC</t>
  </si>
  <si>
    <t xml:space="preserve">CZ684908709</t>
  </si>
  <si>
    <t xml:space="preserve">1643</t>
  </si>
  <si>
    <t xml:space="preserve">401 RYLAND STREET SUITE 200A</t>
  </si>
  <si>
    <t xml:space="preserve">89502</t>
  </si>
  <si>
    <t xml:space="preserve">RENO</t>
  </si>
  <si>
    <t xml:space="preserve">CZ</t>
  </si>
  <si>
    <t xml:space="preserve">4000010713</t>
  </si>
  <si>
    <t xml:space="preserve">__import__.res_partner_20000010714</t>
  </si>
  <si>
    <t xml:space="preserve">20000010714</t>
  </si>
  <si>
    <t xml:space="preserve">SOOS LIFTING MACHINERY, S.L.</t>
  </si>
  <si>
    <t xml:space="preserve">ESB94162666</t>
  </si>
  <si>
    <t xml:space="preserve">P.I A GRANXA PARC 34-35</t>
  </si>
  <si>
    <t xml:space="preserve">vigo@soosmaquinaria.com</t>
  </si>
  <si>
    <t xml:space="preserve">886 100 366</t>
  </si>
  <si>
    <t xml:space="preserve">4000010714</t>
  </si>
  <si>
    <t xml:space="preserve">__import__.res_partner_20000010715</t>
  </si>
  <si>
    <t xml:space="preserve">20000010715</t>
  </si>
  <si>
    <t xml:space="preserve">INGADE CONNECT, S.L.</t>
  </si>
  <si>
    <t xml:space="preserve">ESB90399577</t>
  </si>
  <si>
    <t xml:space="preserve">32900</t>
  </si>
  <si>
    <t xml:space="preserve">PQ. TECNOL. GALICIA</t>
  </si>
  <si>
    <t xml:space="preserve">SAN CIBRAO DE VIÑAS</t>
  </si>
  <si>
    <t xml:space="preserve">vigo@grupompe.es</t>
  </si>
  <si>
    <t xml:space="preserve">986 247601</t>
  </si>
  <si>
    <t xml:space="preserve">4000010715</t>
  </si>
  <si>
    <t xml:space="preserve">__import__.res_partner_20000010716</t>
  </si>
  <si>
    <t xml:space="preserve">20000010716</t>
  </si>
  <si>
    <t xml:space="preserve">TORRESGAL HERMANOS 1945, S.L.</t>
  </si>
  <si>
    <t xml:space="preserve">ESB27795814</t>
  </si>
  <si>
    <t xml:space="preserve">P.I AS GANDARAS 107, NAVE 2</t>
  </si>
  <si>
    <t xml:space="preserve">torresgal@torresgal.com</t>
  </si>
  <si>
    <t xml:space="preserve">986 340 030</t>
  </si>
  <si>
    <t xml:space="preserve">TORRESGAL</t>
  </si>
  <si>
    <t xml:space="preserve">4000010716</t>
  </si>
  <si>
    <t xml:space="preserve">__import__.res_partner_20000010717</t>
  </si>
  <si>
    <t xml:space="preserve">20000010717</t>
  </si>
  <si>
    <t xml:space="preserve">NEW POST GALICIA, S.L.U</t>
  </si>
  <si>
    <t xml:space="preserve">ESB70478409</t>
  </si>
  <si>
    <t xml:space="preserve">P.I A MOURA - CRTA BENS 33, NAVE 7</t>
  </si>
  <si>
    <t xml:space="preserve">info@npgalicia.es</t>
  </si>
  <si>
    <t xml:space="preserve">981 710 657</t>
  </si>
  <si>
    <t xml:space="preserve">4000010717</t>
  </si>
  <si>
    <t xml:space="preserve">__import__.res_partner_20000010718</t>
  </si>
  <si>
    <t xml:space="preserve">20000010718</t>
  </si>
  <si>
    <t xml:space="preserve">DANIEL ALVAREZ VAZQUEZ</t>
  </si>
  <si>
    <t xml:space="preserve">ES53179707G</t>
  </si>
  <si>
    <t xml:space="preserve">AVDA RAMON NIETO, 337</t>
  </si>
  <si>
    <t xml:space="preserve">986 260 660</t>
  </si>
  <si>
    <t xml:space="preserve">4000010718</t>
  </si>
  <si>
    <t xml:space="preserve">__import__.res_partner_20000010719</t>
  </si>
  <si>
    <t xml:space="preserve">20000010719</t>
  </si>
  <si>
    <t xml:space="preserve">ZINA MOVIL, S.L.</t>
  </si>
  <si>
    <t xml:space="preserve">ESB36921435</t>
  </si>
  <si>
    <t xml:space="preserve">CRTA CAMPOSANCOS, 110</t>
  </si>
  <si>
    <t xml:space="preserve">zinamovil@perezrumbao.com</t>
  </si>
  <si>
    <t xml:space="preserve">986 470 074</t>
  </si>
  <si>
    <t xml:space="preserve">FIAR</t>
  </si>
  <si>
    <t xml:space="preserve">4000010719</t>
  </si>
  <si>
    <t xml:space="preserve">__import__.res_partner_20000010720</t>
  </si>
  <si>
    <t xml:space="preserve">20000010720</t>
  </si>
  <si>
    <t xml:space="preserve">ELMAT SOLUCIONES TECNOLOGICAS, S.L.</t>
  </si>
  <si>
    <t xml:space="preserve">ESB42975763</t>
  </si>
  <si>
    <t xml:space="preserve">CAMIÑO ESTROBO, 8 NAVE 3</t>
  </si>
  <si>
    <t xml:space="preserve">comercial@elmat.es</t>
  </si>
  <si>
    <t xml:space="preserve">ELMAT</t>
  </si>
  <si>
    <t xml:space="preserve">4000010720</t>
  </si>
  <si>
    <t xml:space="preserve">__import__.res_partner_20000010721</t>
  </si>
  <si>
    <t xml:space="preserve">20000010721</t>
  </si>
  <si>
    <t xml:space="preserve">JOSE MANUEL PEREIRA MARTINEZ</t>
  </si>
  <si>
    <t xml:space="preserve">ES34870350G</t>
  </si>
  <si>
    <t xml:space="preserve">LG. FRAGA DO REI, 20 ALXEN</t>
  </si>
  <si>
    <t xml:space="preserve">4000010721</t>
  </si>
  <si>
    <t xml:space="preserve">__import__.res_partner_20000010722</t>
  </si>
  <si>
    <t xml:space="preserve">20000010722</t>
  </si>
  <si>
    <t xml:space="preserve">MARIA DEL CARMEN FERNANDEZ RODRIGUEZ</t>
  </si>
  <si>
    <t xml:space="preserve">ES34872246Z</t>
  </si>
  <si>
    <t xml:space="preserve">4000010722</t>
  </si>
  <si>
    <t xml:space="preserve">__import__.res_partner_20000010723</t>
  </si>
  <si>
    <t xml:space="preserve">20000010723</t>
  </si>
  <si>
    <t xml:space="preserve">INNOVAMAT EDUCATION, S.L.</t>
  </si>
  <si>
    <t xml:space="preserve">ESB67098129</t>
  </si>
  <si>
    <t xml:space="preserve">08174</t>
  </si>
  <si>
    <t xml:space="preserve">AV. GENERALITAT, 216 4º 3ª</t>
  </si>
  <si>
    <t xml:space="preserve">clientes@innovamat.com</t>
  </si>
  <si>
    <t xml:space="preserve">936 845 887</t>
  </si>
  <si>
    <t xml:space="preserve">4000010723</t>
  </si>
  <si>
    <t xml:space="preserve">__import__.res_partner_20000010725</t>
  </si>
  <si>
    <t xml:space="preserve">20000010725</t>
  </si>
  <si>
    <t xml:space="preserve">VF APPAREL ESPAÑA, S.L.U</t>
  </si>
  <si>
    <t xml:space="preserve">ESB80520620</t>
  </si>
  <si>
    <t xml:space="preserve">CARRER JOAN MIRO 19-21 PLT. BAJA</t>
  </si>
  <si>
    <t xml:space="preserve">joaopereira@blivo.com</t>
  </si>
  <si>
    <t xml:space="preserve">0051 224 016 37</t>
  </si>
  <si>
    <t xml:space="preserve">BLIVO</t>
  </si>
  <si>
    <t xml:space="preserve">4000010725</t>
  </si>
  <si>
    <t xml:space="preserve">__import__.res_partner_20000010726</t>
  </si>
  <si>
    <t xml:space="preserve">20000010726</t>
  </si>
  <si>
    <t xml:space="preserve">CANDIDO PENALBA, S.L.</t>
  </si>
  <si>
    <t xml:space="preserve">ESB46089504</t>
  </si>
  <si>
    <t xml:space="preserve">46860</t>
  </si>
  <si>
    <t xml:space="preserve">CI PI LA PEDRERA NAVE 50</t>
  </si>
  <si>
    <t xml:space="preserve">ALBAIDA</t>
  </si>
  <si>
    <t xml:space="preserve">4000010726</t>
  </si>
  <si>
    <t xml:space="preserve">__import__.res_partner_20000010727</t>
  </si>
  <si>
    <t xml:space="preserve">20000010727</t>
  </si>
  <si>
    <t xml:space="preserve">WRAMMER SARL</t>
  </si>
  <si>
    <t xml:space="preserve">ESN0272817H</t>
  </si>
  <si>
    <t xml:space="preserve">75018</t>
  </si>
  <si>
    <t xml:space="preserve">40 RUE DAMREMONT</t>
  </si>
  <si>
    <t xml:space="preserve">PARIS</t>
  </si>
  <si>
    <t xml:space="preserve">4000010727</t>
  </si>
  <si>
    <t xml:space="preserve">__import__.res_partner_20000010728</t>
  </si>
  <si>
    <t xml:space="preserve">20000010728</t>
  </si>
  <si>
    <t xml:space="preserve">AMAZON EU SARL SUCCURSALE ITALIANA</t>
  </si>
  <si>
    <t xml:space="preserve">IT0897323096</t>
  </si>
  <si>
    <t xml:space="preserve">20124</t>
  </si>
  <si>
    <t xml:space="preserve">VIALE MONTE GRAPPA 3/5</t>
  </si>
  <si>
    <t xml:space="preserve">MILANO</t>
  </si>
  <si>
    <t xml:space="preserve">4000010728</t>
  </si>
  <si>
    <t xml:space="preserve">__import__.res_partner_20000010729</t>
  </si>
  <si>
    <t xml:space="preserve">20000010729</t>
  </si>
  <si>
    <t xml:space="preserve">ARNAU ANTICH GONZALEZ</t>
  </si>
  <si>
    <t xml:space="preserve">ES48218308G</t>
  </si>
  <si>
    <t xml:space="preserve">EL MASNOU</t>
  </si>
  <si>
    <t xml:space="preserve">MASNOU, EL</t>
  </si>
  <si>
    <t xml:space="preserve">4000010729</t>
  </si>
  <si>
    <t xml:space="preserve">__import__.res_partner_20000010730</t>
  </si>
  <si>
    <t xml:space="preserve">20000010730</t>
  </si>
  <si>
    <t xml:space="preserve">EDUCA BORRAS, S.A.U.</t>
  </si>
  <si>
    <t xml:space="preserve">ESA08937435</t>
  </si>
  <si>
    <t xml:space="preserve">OSONA, 1</t>
  </si>
  <si>
    <t xml:space="preserve">SANT QUIRZE DEL VALLES</t>
  </si>
  <si>
    <t xml:space="preserve">j.gestoso@educaborras.com</t>
  </si>
  <si>
    <t xml:space="preserve">937 216 820</t>
  </si>
  <si>
    <t xml:space="preserve">EDUCA</t>
  </si>
  <si>
    <t xml:space="preserve">4000010730</t>
  </si>
  <si>
    <t xml:space="preserve">__import__.res_partner_20000010731</t>
  </si>
  <si>
    <t xml:space="preserve">20000010731</t>
  </si>
  <si>
    <t xml:space="preserve">ADRIAN CZIBERE E.K.</t>
  </si>
  <si>
    <t xml:space="preserve">DE263092203</t>
  </si>
  <si>
    <t xml:space="preserve">79365</t>
  </si>
  <si>
    <t xml:space="preserve">AUGUSTIN-BUSELMEIER STR 24</t>
  </si>
  <si>
    <t xml:space="preserve">RHEINHAUSEN</t>
  </si>
  <si>
    <t xml:space="preserve">AMAZON</t>
  </si>
  <si>
    <t xml:space="preserve">4000010731</t>
  </si>
  <si>
    <t xml:space="preserve">__import__.res_partner_20000010733</t>
  </si>
  <si>
    <t xml:space="preserve">20000010733</t>
  </si>
  <si>
    <t xml:space="preserve">PAULA ANDRADE IMPORTAÇOES, LDA.</t>
  </si>
  <si>
    <t xml:space="preserve">PT506083195</t>
  </si>
  <si>
    <t xml:space="preserve">4480-618</t>
  </si>
  <si>
    <t xml:space="preserve">RUA ROTUNDA ARM.31 - ZONA NORTE</t>
  </si>
  <si>
    <t xml:space="preserve">ZONA INDUSTRIAL DA VARZIELA</t>
  </si>
  <si>
    <t xml:space="preserve">VILA DO CONDE (PORTO)</t>
  </si>
  <si>
    <t xml:space="preserve">4000010733</t>
  </si>
  <si>
    <t xml:space="preserve">__import__.res_partner_20000010734</t>
  </si>
  <si>
    <t xml:space="preserve">20000010734</t>
  </si>
  <si>
    <t xml:space="preserve">IMPARA EQUIPAMIENTOS, S.L.</t>
  </si>
  <si>
    <t xml:space="preserve">ESB63781017</t>
  </si>
  <si>
    <t xml:space="preserve">04009</t>
  </si>
  <si>
    <t xml:space="preserve">P.I. SECTOR 20 - C/ CARBON, PARC. 207</t>
  </si>
  <si>
    <t xml:space="preserve">ALMERIA</t>
  </si>
  <si>
    <t xml:space="preserve">naciobal@impara.es</t>
  </si>
  <si>
    <t xml:space="preserve">950 290 540</t>
  </si>
  <si>
    <t xml:space="preserve">4000010734</t>
  </si>
  <si>
    <t xml:space="preserve">__import__.res_partner_20000010735</t>
  </si>
  <si>
    <t xml:space="preserve">20000010735</t>
  </si>
  <si>
    <t xml:space="preserve">HOP TOYS</t>
  </si>
  <si>
    <t xml:space="preserve">FR7342263810</t>
  </si>
  <si>
    <t xml:space="preserve">34193</t>
  </si>
  <si>
    <t xml:space="preserve">6, RUE ROBERT KOCH - CS30100</t>
  </si>
  <si>
    <t xml:space="preserve">MONTPELLIER CEDEX 5</t>
  </si>
  <si>
    <t xml:space="preserve">4000010735</t>
  </si>
  <si>
    <t xml:space="preserve">__import__.res_partner_20000010736</t>
  </si>
  <si>
    <t xml:space="preserve">20000010736</t>
  </si>
  <si>
    <t xml:space="preserve">NOVUS DAHLE GMBH</t>
  </si>
  <si>
    <t xml:space="preserve">DE812975481</t>
  </si>
  <si>
    <t xml:space="preserve">49808</t>
  </si>
  <si>
    <t xml:space="preserve">BRESLAUER STR. 34-38</t>
  </si>
  <si>
    <t xml:space="preserve">LINGEN</t>
  </si>
  <si>
    <t xml:space="preserve">4000010736</t>
  </si>
  <si>
    <t xml:space="preserve">__import__.res_partner_20000010738</t>
  </si>
  <si>
    <t xml:space="preserve">20000010738</t>
  </si>
  <si>
    <t xml:space="preserve">ISMOBEL S.A.</t>
  </si>
  <si>
    <t xml:space="preserve">ESA26023523</t>
  </si>
  <si>
    <t xml:space="preserve">CL. CORDONERA, 5 P.I. LA PORTALADA II</t>
  </si>
  <si>
    <t xml:space="preserve">LOGROñO</t>
  </si>
  <si>
    <t xml:space="preserve">ismobel@ismobel.com</t>
  </si>
  <si>
    <t xml:space="preserve">941 230 752</t>
  </si>
  <si>
    <t xml:space="preserve">ISMOBEL</t>
  </si>
  <si>
    <t xml:space="preserve">4000010738</t>
  </si>
  <si>
    <t xml:space="preserve">Dto. 44%
los portes son 50€ + iva, si no llega a un pedido mínimo de 400€ NETOS.
https://www.dropbox.com/sh/yu6rrxeejxesfkp/AABdn5nyoehOYF1jPYZIphqKa?dl=0
</t>
  </si>
  <si>
    <t xml:space="preserve">__import__.res_partner_20000010739</t>
  </si>
  <si>
    <t xml:space="preserve">20000010739</t>
  </si>
  <si>
    <t xml:space="preserve">ANA LAGO</t>
  </si>
  <si>
    <t xml:space="preserve">ES36153071S</t>
  </si>
  <si>
    <t xml:space="preserve">36300</t>
  </si>
  <si>
    <t xml:space="preserve">A LAGARTEIRA, 5</t>
  </si>
  <si>
    <t xml:space="preserve">BAIONA</t>
  </si>
  <si>
    <t xml:space="preserve">696738028</t>
  </si>
  <si>
    <t xml:space="preserve">ES0201825322260203576333</t>
  </si>
  <si>
    <t xml:space="preserve">STUDIO LUV LETTERS</t>
  </si>
  <si>
    <t xml:space="preserve">4000010739</t>
  </si>
  <si>
    <t xml:space="preserve">__import__.res_partner_20000010740</t>
  </si>
  <si>
    <t xml:space="preserve">20000010740</t>
  </si>
  <si>
    <t xml:space="preserve">A.SEIXIÑOS, S.L.</t>
  </si>
  <si>
    <t xml:space="preserve">ESB27826072</t>
  </si>
  <si>
    <t xml:space="preserve">CRTA SEIXIÑOS, 15</t>
  </si>
  <si>
    <t xml:space="preserve">ARTEDIGITAL@GRACIANORODRIGUEZ.COM</t>
  </si>
  <si>
    <t xml:space="preserve">986 423 900</t>
  </si>
  <si>
    <t xml:space="preserve">ARTE DIGITAL</t>
  </si>
  <si>
    <t xml:space="preserve">4000010740</t>
  </si>
  <si>
    <t xml:space="preserve">__import__.res_partner_20000010741</t>
  </si>
  <si>
    <t xml:space="preserve">20000010741</t>
  </si>
  <si>
    <t xml:space="preserve">LUCIA GARCIA GIRALDEZ</t>
  </si>
  <si>
    <t xml:space="preserve">ES17463582G</t>
  </si>
  <si>
    <t xml:space="preserve">LAMEIRA, 33</t>
  </si>
  <si>
    <t xml:space="preserve">luciadoval.contacto@gmail.com</t>
  </si>
  <si>
    <t xml:space="preserve"> 699 277 310</t>
  </si>
  <si>
    <t xml:space="preserve">LUCIA DOVAL</t>
  </si>
  <si>
    <t xml:space="preserve">4000010741</t>
  </si>
  <si>
    <t xml:space="preserve">__import__.res_partner_20000010742</t>
  </si>
  <si>
    <t xml:space="preserve">20000010742</t>
  </si>
  <si>
    <t xml:space="preserve">AISLAMOS, S.L.</t>
  </si>
  <si>
    <t xml:space="preserve">ESB36235380</t>
  </si>
  <si>
    <t xml:space="preserve">36637</t>
  </si>
  <si>
    <t xml:space="preserve">MOSTEIRO</t>
  </si>
  <si>
    <t xml:space="preserve">MEIS</t>
  </si>
  <si>
    <t xml:space="preserve">aislamos@aislamos.com</t>
  </si>
  <si>
    <t xml:space="preserve">986715374</t>
  </si>
  <si>
    <t xml:space="preserve">AISLAMOS</t>
  </si>
  <si>
    <t xml:space="preserve">4000010742</t>
  </si>
  <si>
    <t xml:space="preserve">__import__.res_partner_20000010743</t>
  </si>
  <si>
    <t xml:space="preserve">20000010743</t>
  </si>
  <si>
    <t xml:space="preserve">SEIDOR CONSULTING, S.L.</t>
  </si>
  <si>
    <t xml:space="preserve">ESB62076740</t>
  </si>
  <si>
    <t xml:space="preserve">EIX ONZE DE SETEMBRE, 41-43</t>
  </si>
  <si>
    <t xml:space="preserve">933043222</t>
  </si>
  <si>
    <t xml:space="preserve">SEIDOR</t>
  </si>
  <si>
    <t xml:space="preserve">4000010743</t>
  </si>
  <si>
    <t xml:space="preserve">__import__.res_partner_20000010744</t>
  </si>
  <si>
    <t xml:space="preserve">20000010744</t>
  </si>
  <si>
    <t xml:space="preserve">SOLRED, LDA</t>
  </si>
  <si>
    <t xml:space="preserve">PT980505755</t>
  </si>
  <si>
    <t xml:space="preserve">MENDEZ ÁLVARO, 44</t>
  </si>
  <si>
    <t xml:space="preserve">SOLRED PORTUGAL</t>
  </si>
  <si>
    <t xml:space="preserve">4000010744</t>
  </si>
  <si>
    <t xml:space="preserve">__import__.res_partner_20000010753</t>
  </si>
  <si>
    <t xml:space="preserve">20000010753</t>
  </si>
  <si>
    <t xml:space="preserve">ENRIQUE FEIJOO LOPEZ</t>
  </si>
  <si>
    <t xml:space="preserve">ES36080203B</t>
  </si>
  <si>
    <t xml:space="preserve">CTRA. FREIXO, 11 - SARDOMA</t>
  </si>
  <si>
    <t xml:space="preserve">bolsasfeijoo@hotmail.com</t>
  </si>
  <si>
    <t xml:space="preserve">986 424 538</t>
  </si>
  <si>
    <t xml:space="preserve">BOLSAS FEIJOO</t>
  </si>
  <si>
    <t xml:space="preserve">4000010753</t>
  </si>
  <si>
    <t xml:space="preserve">__import__.res_partner_20000010754</t>
  </si>
  <si>
    <t xml:space="preserve">20000010754</t>
  </si>
  <si>
    <t xml:space="preserve">BALINVEST TRADE, S.L.</t>
  </si>
  <si>
    <t xml:space="preserve">ESB25832684</t>
  </si>
  <si>
    <t xml:space="preserve">25600</t>
  </si>
  <si>
    <t xml:space="preserve">SANT LLUIS, 117 5-6</t>
  </si>
  <si>
    <t xml:space="preserve">BALAGUER</t>
  </si>
  <si>
    <t xml:space="preserve">4000010754</t>
  </si>
  <si>
    <t xml:space="preserve">__import__.res_partner_20000010755</t>
  </si>
  <si>
    <t xml:space="preserve">20000010755</t>
  </si>
  <si>
    <t xml:space="preserve">JMR CAMELOT, C.B.</t>
  </si>
  <si>
    <t xml:space="preserve">ESE56150618</t>
  </si>
  <si>
    <t xml:space="preserve">03510</t>
  </si>
  <si>
    <t xml:space="preserve">PONT DEL LLANDERO, 3 LOCAL 8</t>
  </si>
  <si>
    <t xml:space="preserve">CALLOSA DE ENSARRIA</t>
  </si>
  <si>
    <t xml:space="preserve">info@juegosdelamesaredonda.com</t>
  </si>
  <si>
    <t xml:space="preserve">675 860 187</t>
  </si>
  <si>
    <t xml:space="preserve">JUEGOS DE LA MESA REDONDA</t>
  </si>
  <si>
    <t xml:space="preserve">4000010755</t>
  </si>
  <si>
    <t xml:space="preserve">__import__.res_partner_20000010756</t>
  </si>
  <si>
    <t xml:space="preserve">20000010756</t>
  </si>
  <si>
    <t xml:space="preserve">JACOBO CASASNOVAS, S.L.</t>
  </si>
  <si>
    <t xml:space="preserve">ESB13724745</t>
  </si>
  <si>
    <t xml:space="preserve">17251</t>
  </si>
  <si>
    <t xml:space="preserve">SELVA, 137</t>
  </si>
  <si>
    <t xml:space="preserve">CALONGE</t>
  </si>
  <si>
    <t xml:space="preserve">652126127</t>
  </si>
  <si>
    <t xml:space="preserve">HANNAI</t>
  </si>
  <si>
    <t xml:space="preserve">4000010756</t>
  </si>
  <si>
    <t xml:space="preserve">__import__.res_partner_20000010757</t>
  </si>
  <si>
    <t xml:space="preserve">20000010757</t>
  </si>
  <si>
    <t xml:space="preserve">DISTRIBUYEN ECOMMERCE GROUP, S.L.</t>
  </si>
  <si>
    <t xml:space="preserve">ESB54509328</t>
  </si>
  <si>
    <t xml:space="preserve">03802</t>
  </si>
  <si>
    <t xml:space="preserve">MONTGO, 5</t>
  </si>
  <si>
    <t xml:space="preserve">ALCOY</t>
  </si>
  <si>
    <t xml:space="preserve">4000010757</t>
  </si>
  <si>
    <t xml:space="preserve">__import__.res_partner_20000010758</t>
  </si>
  <si>
    <t xml:space="preserve">20000010758</t>
  </si>
  <si>
    <t xml:space="preserve">HERMEX IBERICA, S.L.</t>
  </si>
  <si>
    <t xml:space="preserve">ESB66629494</t>
  </si>
  <si>
    <t xml:space="preserve">08203</t>
  </si>
  <si>
    <t xml:space="preserve">BRUTAU, 96</t>
  </si>
  <si>
    <t xml:space="preserve">madrid@hermex.es</t>
  </si>
  <si>
    <t xml:space="preserve">915 308 779</t>
  </si>
  <si>
    <t xml:space="preserve">4000010758</t>
  </si>
  <si>
    <t xml:space="preserve">__import__.res_partner_20000010759</t>
  </si>
  <si>
    <t xml:space="preserve">20000010759</t>
  </si>
  <si>
    <t xml:space="preserve">JUGUETTOS CENTRAL DE COMPRAS, S.C.V.</t>
  </si>
  <si>
    <t xml:space="preserve">ESF03045853</t>
  </si>
  <si>
    <t xml:space="preserve">03400</t>
  </si>
  <si>
    <t xml:space="preserve">POL. IND. RUBIAL. CL 7 - PARCELAS 100-101</t>
  </si>
  <si>
    <t xml:space="preserve">VILLENA</t>
  </si>
  <si>
    <t xml:space="preserve">4000010759</t>
  </si>
  <si>
    <t xml:space="preserve">__import__.res_partner_20000010760</t>
  </si>
  <si>
    <t xml:space="preserve">20000010760</t>
  </si>
  <si>
    <t xml:space="preserve">EAUTO, S.L.</t>
  </si>
  <si>
    <t xml:space="preserve">ESB36157717</t>
  </si>
  <si>
    <t xml:space="preserve">CL. ROSALÍA DE CASTRO, 8</t>
  </si>
  <si>
    <t xml:space="preserve">tallereseauto@eurotaller.com</t>
  </si>
  <si>
    <t xml:space="preserve">986 349198</t>
  </si>
  <si>
    <t xml:space="preserve">TALLERES EAUTO</t>
  </si>
  <si>
    <t xml:space="preserve">4000010760</t>
  </si>
  <si>
    <t xml:space="preserve">__import__.res_partner_20000010761</t>
  </si>
  <si>
    <t xml:space="preserve">20000010761</t>
  </si>
  <si>
    <t xml:space="preserve">TALLERES PINO PONTEAREAS, S.L.</t>
  </si>
  <si>
    <t xml:space="preserve">ESB94009669</t>
  </si>
  <si>
    <t xml:space="preserve">EL PUENTE,26</t>
  </si>
  <si>
    <t xml:space="preserve">986 640 979</t>
  </si>
  <si>
    <t xml:space="preserve">TALLERES PINO</t>
  </si>
  <si>
    <t xml:space="preserve">4000010761</t>
  </si>
  <si>
    <t xml:space="preserve">__import__.res_partner_20000010762</t>
  </si>
  <si>
    <t xml:space="preserve">20000010762</t>
  </si>
  <si>
    <t xml:space="preserve">LOZANO IMPRESORES, S.L.</t>
  </si>
  <si>
    <t xml:space="preserve">ESB18522169</t>
  </si>
  <si>
    <t xml:space="preserve">18230</t>
  </si>
  <si>
    <t xml:space="preserve">C. PRINCIPAL, S/N - POL. IND. LOS ALAMOS</t>
  </si>
  <si>
    <t xml:space="preserve">ATARFE</t>
  </si>
  <si>
    <t xml:space="preserve">958 800 580</t>
  </si>
  <si>
    <t xml:space="preserve">GEU</t>
  </si>
  <si>
    <t xml:space="preserve">4000010762</t>
  </si>
  <si>
    <t xml:space="preserve">__import__.res_partner_20000010764</t>
  </si>
  <si>
    <t xml:space="preserve">20000010764</t>
  </si>
  <si>
    <t xml:space="preserve">EDICIONS POSITIVAS, S.L.</t>
  </si>
  <si>
    <t xml:space="preserve">ESB15504665</t>
  </si>
  <si>
    <t xml:space="preserve">15705</t>
  </si>
  <si>
    <t xml:space="preserve">CARRETAS, 18 BAIXO</t>
  </si>
  <si>
    <t xml:space="preserve">positivas@edicionspositivas.com</t>
  </si>
  <si>
    <t xml:space="preserve">981 560 057</t>
  </si>
  <si>
    <t xml:space="preserve">4000010764</t>
  </si>
  <si>
    <t xml:space="preserve">__import__.res_partner_20000010765</t>
  </si>
  <si>
    <t xml:space="preserve">20000010765</t>
  </si>
  <si>
    <t xml:space="preserve">ROTOCOBRHI, S.A.U</t>
  </si>
  <si>
    <t xml:space="preserve">ESA28352656</t>
  </si>
  <si>
    <t xml:space="preserve">RONDA DE VALDECARRIZO, 13</t>
  </si>
  <si>
    <t xml:space="preserve">91 803 16 76</t>
  </si>
  <si>
    <t xml:space="preserve">IMPRESION CATALOGOS CARLIN</t>
  </si>
  <si>
    <t xml:space="preserve">4000010765</t>
  </si>
  <si>
    <t xml:space="preserve">__import__.res_partner_20000010767</t>
  </si>
  <si>
    <t xml:space="preserve">20000010767</t>
  </si>
  <si>
    <t xml:space="preserve">ALMAR GARDEN S.L.</t>
  </si>
  <si>
    <t xml:space="preserve">ESB62459045</t>
  </si>
  <si>
    <t xml:space="preserve">Calle Montcada (Pol. Ind. Camp Pereres), 5 _ Nave 2</t>
  </si>
  <si>
    <t xml:space="preserve">oficina@onoffsc.com</t>
  </si>
  <si>
    <t xml:space="preserve">4000010767</t>
  </si>
  <si>
    <t xml:space="preserve">__import__.res_partner_20000010768</t>
  </si>
  <si>
    <t xml:space="preserve">20000010768</t>
  </si>
  <si>
    <t xml:space="preserve">INTERBOLT.EU KORLÁTOLT FELELŐSSÉGŰ TÁRSASÁG</t>
  </si>
  <si>
    <t xml:space="preserve">HU14856433</t>
  </si>
  <si>
    <t xml:space="preserve">1051</t>
  </si>
  <si>
    <t xml:space="preserve">KOSSUTH UTCA 83 8360 KESZTHELY</t>
  </si>
  <si>
    <t xml:space="preserve">BUDAPEST</t>
  </si>
  <si>
    <t xml:space="preserve">HU</t>
  </si>
  <si>
    <t xml:space="preserve">4000010768</t>
  </si>
  <si>
    <t xml:space="preserve">__import__.res_partner_20000010769</t>
  </si>
  <si>
    <t xml:space="preserve">20000010769</t>
  </si>
  <si>
    <t xml:space="preserve">DIFER, DISTRIBUIDORA MOVIL DE PAPELERÍA, S.L.</t>
  </si>
  <si>
    <t xml:space="preserve">ESB52551678</t>
  </si>
  <si>
    <t xml:space="preserve">33203</t>
  </si>
  <si>
    <t xml:space="preserve">AVDA DEL JARDIN BOTANICO, 622 PUERTA 22</t>
  </si>
  <si>
    <t xml:space="preserve">GIJóN</t>
  </si>
  <si>
    <t xml:space="preserve">ireneg@carlinasturias.com</t>
  </si>
  <si>
    <t xml:space="preserve">985 985 890</t>
  </si>
  <si>
    <t xml:space="preserve">DIFER</t>
  </si>
  <si>
    <t xml:space="preserve">4000010769</t>
  </si>
  <si>
    <t xml:space="preserve">__import__.res_partner_20000010770</t>
  </si>
  <si>
    <t xml:space="preserve">20000010770</t>
  </si>
  <si>
    <t xml:space="preserve">CORVOTRONIC S.L.</t>
  </si>
  <si>
    <t xml:space="preserve">ESB99498552</t>
  </si>
  <si>
    <t xml:space="preserve">CL. SEQUIA CALVERA, 34</t>
  </si>
  <si>
    <t xml:space="preserve">SEDAVI</t>
  </si>
  <si>
    <t xml:space="preserve">ventas@corvotronic.com</t>
  </si>
  <si>
    <t xml:space="preserve">CORVOTRONIC </t>
  </si>
  <si>
    <t xml:space="preserve">4000010770</t>
  </si>
  <si>
    <t xml:space="preserve">__import__.res_partner_20000010771</t>
  </si>
  <si>
    <t xml:space="preserve">20000010771</t>
  </si>
  <si>
    <t xml:space="preserve">ULTRADEX PLANUNGSGERÄTE GMBH</t>
  </si>
  <si>
    <t xml:space="preserve">DE811163534</t>
  </si>
  <si>
    <t xml:space="preserve">79713</t>
  </si>
  <si>
    <t xml:space="preserve">WALDSHUTER STR 25</t>
  </si>
  <si>
    <t xml:space="preserve">BAD SACKINGEN</t>
  </si>
  <si>
    <t xml:space="preserve">cb@ultradex.com</t>
  </si>
  <si>
    <t xml:space="preserve">004977619286-14</t>
  </si>
  <si>
    <t xml:space="preserve">4000010771</t>
  </si>
  <si>
    <t xml:space="preserve">__import__.res_partner_20000010772</t>
  </si>
  <si>
    <t xml:space="preserve">20000010772</t>
  </si>
  <si>
    <t xml:space="preserve">ALMACEN INFORMATICO ONLINE, S.L.</t>
  </si>
  <si>
    <t xml:space="preserve">ESB99012148</t>
  </si>
  <si>
    <t xml:space="preserve">CAMINO DE LA ESTACION, 42</t>
  </si>
  <si>
    <t xml:space="preserve">UTEBO</t>
  </si>
  <si>
    <t xml:space="preserve">ES1601820739760201515133</t>
  </si>
  <si>
    <t xml:space="preserve">ALMACEN INFORMATICO</t>
  </si>
  <si>
    <t xml:space="preserve">4000010772</t>
  </si>
  <si>
    <t xml:space="preserve">__import__.res_partner_20000010773</t>
  </si>
  <si>
    <t xml:space="preserve">20000010773</t>
  </si>
  <si>
    <t xml:space="preserve">BEATRIZ GARRIDO IZQUIERDO</t>
  </si>
  <si>
    <t xml:space="preserve">ES53401889Y</t>
  </si>
  <si>
    <t xml:space="preserve">28723</t>
  </si>
  <si>
    <t xml:space="preserve">PASEO DE LA ERMITA, 43v6</t>
  </si>
  <si>
    <t xml:space="preserve">PEDREZUELA</t>
  </si>
  <si>
    <t xml:space="preserve">info@mijuegobonito.com</t>
  </si>
  <si>
    <t xml:space="preserve">682056871</t>
  </si>
  <si>
    <t xml:space="preserve">MI JUEGO BONITO</t>
  </si>
  <si>
    <t xml:space="preserve">4000010773</t>
  </si>
  <si>
    <t xml:space="preserve">__import__.res_partner_20000010774</t>
  </si>
  <si>
    <t xml:space="preserve">20000010774</t>
  </si>
  <si>
    <t xml:space="preserve">AMAZON EU SARL SUCCURSAL ESPAÑA</t>
  </si>
  <si>
    <t xml:space="preserve">ESW0184081H</t>
  </si>
  <si>
    <t xml:space="preserve">RAMIREZ DE PRADO, 5</t>
  </si>
  <si>
    <t xml:space="preserve">4000010774</t>
  </si>
  <si>
    <t xml:space="preserve">__import__.res_partner_20000010775</t>
  </si>
  <si>
    <t xml:space="preserve">20000010775</t>
  </si>
  <si>
    <t xml:space="preserve">MORAVIA CONSULTING, SPOL R.R.O.</t>
  </si>
  <si>
    <t xml:space="preserve">CZ49967550</t>
  </si>
  <si>
    <t xml:space="preserve">62700</t>
  </si>
  <si>
    <t xml:space="preserve">OLOMOUCKA 1213/83</t>
  </si>
  <si>
    <t xml:space="preserve">BRNO-</t>
  </si>
  <si>
    <t xml:space="preserve">BESTLIFE</t>
  </si>
  <si>
    <t xml:space="preserve">4000010775</t>
  </si>
  <si>
    <t xml:space="preserve">__import__.res_partner_20000010776</t>
  </si>
  <si>
    <t xml:space="preserve">20000010776</t>
  </si>
  <si>
    <t xml:space="preserve">NEUMATICOS PEREZ ALONSO, S.L.</t>
  </si>
  <si>
    <t xml:space="preserve">ESB94185345</t>
  </si>
  <si>
    <t xml:space="preserve">AMEIROLONGO, 154 NAVE 8</t>
  </si>
  <si>
    <t xml:space="preserve">diego@nperezalonso.com</t>
  </si>
  <si>
    <t xml:space="preserve">671 456 864</t>
  </si>
  <si>
    <t xml:space="preserve">4000010776</t>
  </si>
  <si>
    <t xml:space="preserve">__import__.res_partner_20000010777</t>
  </si>
  <si>
    <t xml:space="preserve">20000010777</t>
  </si>
  <si>
    <t xml:space="preserve">CRISTALPUEN, S.L</t>
  </si>
  <si>
    <t xml:space="preserve">ESB27821842</t>
  </si>
  <si>
    <t xml:space="preserve">CL. RAMIRANES 14</t>
  </si>
  <si>
    <t xml:space="preserve">607 354 695</t>
  </si>
  <si>
    <t xml:space="preserve">CRISTALERIA CRISTALPUEN</t>
  </si>
  <si>
    <t xml:space="preserve">4000010777</t>
  </si>
  <si>
    <t xml:space="preserve">__import__.res_partner_20000010778</t>
  </si>
  <si>
    <t xml:space="preserve">20000010778</t>
  </si>
  <si>
    <t xml:space="preserve">METALMALLA &amp; BEICO, S.L.</t>
  </si>
  <si>
    <t xml:space="preserve">ESB65662827</t>
  </si>
  <si>
    <t xml:space="preserve">CL. ALMIRALL OQUENDO, 48-52</t>
  </si>
  <si>
    <t xml:space="preserve">SANT ADRIA DE BESOS</t>
  </si>
  <si>
    <t xml:space="preserve">933 816 315</t>
  </si>
  <si>
    <t xml:space="preserve">METALMALLA</t>
  </si>
  <si>
    <t xml:space="preserve">4000010778</t>
  </si>
  <si>
    <t xml:space="preserve">__import__.res_partner_20000010779</t>
  </si>
  <si>
    <t xml:space="preserve">20000010779</t>
  </si>
  <si>
    <t xml:space="preserve">ENERXIA GALEGA MAIS, S.L.</t>
  </si>
  <si>
    <t xml:space="preserve">ESB27266279</t>
  </si>
  <si>
    <t xml:space="preserve">27790</t>
  </si>
  <si>
    <t xml:space="preserve">VILAR, 7</t>
  </si>
  <si>
    <t xml:space="preserve">SAN COSME DE BARREIROS</t>
  </si>
  <si>
    <t xml:space="preserve">MAIS ENERXIA</t>
  </si>
  <si>
    <t xml:space="preserve">4000010779</t>
  </si>
  <si>
    <t xml:space="preserve">__import__.res_partner_20000010781</t>
  </si>
  <si>
    <t xml:space="preserve">20000010781</t>
  </si>
  <si>
    <t xml:space="preserve">CENTRAL DE SUMINISTROS DE ARTES GRAFICAS DEL PAPEL, S.A.U</t>
  </si>
  <si>
    <t xml:space="preserve">ESA81822249</t>
  </si>
  <si>
    <t xml:space="preserve">CL. VELAZQUEZ, 105</t>
  </si>
  <si>
    <t xml:space="preserve">iberpapelnacional@iberpapel.es</t>
  </si>
  <si>
    <t xml:space="preserve">915641166</t>
  </si>
  <si>
    <t xml:space="preserve">ES0401823999350011860008</t>
  </si>
  <si>
    <t xml:space="preserve">GRUPO IBERPAPEL</t>
  </si>
  <si>
    <t xml:space="preserve">4000010781</t>
  </si>
  <si>
    <t xml:space="preserve">__import__.res_partner_20000010782</t>
  </si>
  <si>
    <t xml:space="preserve">20000010782</t>
  </si>
  <si>
    <t xml:space="preserve">JESSICA FERNANDEZ CABALEIRO</t>
  </si>
  <si>
    <t xml:space="preserve">ES36175385L</t>
  </si>
  <si>
    <t xml:space="preserve">CAMIÑO FERRAL, 18</t>
  </si>
  <si>
    <t xml:space="preserve">edimaesmf@gmail.com</t>
  </si>
  <si>
    <t xml:space="preserve">EDITORIAL EDIMAES M.F.</t>
  </si>
  <si>
    <t xml:space="preserve">4000010782</t>
  </si>
  <si>
    <t xml:space="preserve">__import__.res_partner_20000010784</t>
  </si>
  <si>
    <t xml:space="preserve">20000010784</t>
  </si>
  <si>
    <t xml:space="preserve">EDUCALIA EDITORIAL, S.L.</t>
  </si>
  <si>
    <t xml:space="preserve">ESB98958523</t>
  </si>
  <si>
    <t xml:space="preserve">AV. JACARANDES, 2 - LOFT. 327 </t>
  </si>
  <si>
    <t xml:space="preserve">educaliaeditorial@e-ducalia.com</t>
  </si>
  <si>
    <t xml:space="preserve">960 624 309</t>
  </si>
  <si>
    <t xml:space="preserve">4000010784</t>
  </si>
  <si>
    <t xml:space="preserve">__import__.res_partner_20000010785</t>
  </si>
  <si>
    <t xml:space="preserve">20000010785</t>
  </si>
  <si>
    <t xml:space="preserve">DISTRIBUIDORA PAPELERA, S.A.U</t>
  </si>
  <si>
    <t xml:space="preserve">ESA28977031</t>
  </si>
  <si>
    <t xml:space="preserve">CL. VELAZQUEZ 105</t>
  </si>
  <si>
    <t xml:space="preserve">91 564 07 20</t>
  </si>
  <si>
    <t xml:space="preserve">4000010785</t>
  </si>
  <si>
    <t xml:space="preserve">__import__.res_partner_20000010788</t>
  </si>
  <si>
    <t xml:space="preserve">20000010788</t>
  </si>
  <si>
    <t xml:space="preserve">CIERRES METALICOS Y AUTOMATISMOS DE GALICIA, S.L.U</t>
  </si>
  <si>
    <t xml:space="preserve">ESB36757680</t>
  </si>
  <si>
    <t xml:space="preserve">POL. DA PASAXE, 33 VINCIOS</t>
  </si>
  <si>
    <t xml:space="preserve">cimagal@cimagal.com</t>
  </si>
  <si>
    <t xml:space="preserve">986 46 96 87</t>
  </si>
  <si>
    <t xml:space="preserve">CIMAGAL</t>
  </si>
  <si>
    <t xml:space="preserve">4000010788</t>
  </si>
  <si>
    <t xml:space="preserve">__import__.res_partner_20000010789</t>
  </si>
  <si>
    <t xml:space="preserve">20000010789</t>
  </si>
  <si>
    <t xml:space="preserve">ZETA TRADES, S.L.U</t>
  </si>
  <si>
    <t xml:space="preserve">ESB65118978</t>
  </si>
  <si>
    <t xml:space="preserve">AV BARCELONA 140-142</t>
  </si>
  <si>
    <t xml:space="preserve">SANTA COLOMA DE CERVELLO</t>
  </si>
  <si>
    <t xml:space="preserve">info@zetatrades.com</t>
  </si>
  <si>
    <t xml:space="preserve">930 105 927</t>
  </si>
  <si>
    <t xml:space="preserve">4000010789</t>
  </si>
  <si>
    <t xml:space="preserve">__import__.res_partner_20000010790</t>
  </si>
  <si>
    <t xml:space="preserve">20000010790</t>
  </si>
  <si>
    <t xml:space="preserve">AVANTE PL7, S.A</t>
  </si>
  <si>
    <t xml:space="preserve">ESA88192208</t>
  </si>
  <si>
    <t xml:space="preserve">28021</t>
  </si>
  <si>
    <t xml:space="preserve">AVDA MARCONI, 1</t>
  </si>
  <si>
    <t xml:space="preserve">GONSUSHOP@GMAIL.COM</t>
  </si>
  <si>
    <t xml:space="preserve">914278930</t>
  </si>
  <si>
    <t xml:space="preserve">AVANTE</t>
  </si>
  <si>
    <t xml:space="preserve">4000010790</t>
  </si>
  <si>
    <t xml:space="preserve">__import__.res_partner_20000010793</t>
  </si>
  <si>
    <t xml:space="preserve">20000010793</t>
  </si>
  <si>
    <t xml:space="preserve">MOOVING PAPER EU, S.L.</t>
  </si>
  <si>
    <t xml:space="preserve">ESB70673504</t>
  </si>
  <si>
    <t xml:space="preserve">15930</t>
  </si>
  <si>
    <t xml:space="preserve">CL. MOIMENTA, 24</t>
  </si>
  <si>
    <t xml:space="preserve">BOIRO</t>
  </si>
  <si>
    <t xml:space="preserve">pablo.eu@somosmooving.com</t>
  </si>
  <si>
    <t xml:space="preserve">650 960 462</t>
  </si>
  <si>
    <t xml:space="preserve">MOOVING</t>
  </si>
  <si>
    <t xml:space="preserve">4000010793</t>
  </si>
  <si>
    <t xml:space="preserve">__import__.res_partner_20000010794</t>
  </si>
  <si>
    <t xml:space="preserve">20000010794</t>
  </si>
  <si>
    <t xml:space="preserve">EDITORIAL GALAXIA, S.A.</t>
  </si>
  <si>
    <t xml:space="preserve">ESA36603314</t>
  </si>
  <si>
    <t xml:space="preserve">TRAVESIA DE VIGO, 71 SOTO</t>
  </si>
  <si>
    <t xml:space="preserve">pedidos@editorialgalaxia.gal</t>
  </si>
  <si>
    <t xml:space="preserve">986 265 144</t>
  </si>
  <si>
    <t xml:space="preserve">4000010794</t>
  </si>
  <si>
    <t xml:space="preserve">__import__.res_partner_20000010795</t>
  </si>
  <si>
    <t xml:space="preserve">20000010795</t>
  </si>
  <si>
    <t xml:space="preserve">VIDEO OCA, S.L.</t>
  </si>
  <si>
    <t xml:space="preserve">ESB61277505</t>
  </si>
  <si>
    <t xml:space="preserve">SOT DELS PRADALS, 20 NAVE D</t>
  </si>
  <si>
    <t xml:space="preserve">4000010795</t>
  </si>
  <si>
    <t xml:space="preserve">__import__.res_partner_20000010796</t>
  </si>
  <si>
    <t xml:space="preserve">20000010796</t>
  </si>
  <si>
    <t xml:space="preserve">ABACUS SCCCL</t>
  </si>
  <si>
    <t xml:space="preserve">ESF08226714</t>
  </si>
  <si>
    <t xml:space="preserve">PERU, 186</t>
  </si>
  <si>
    <t xml:space="preserve">932 178 166</t>
  </si>
  <si>
    <t xml:space="preserve">4000010796</t>
  </si>
  <si>
    <t xml:space="preserve">__import__.res_partner_20000010798</t>
  </si>
  <si>
    <t xml:space="preserve">20000010798</t>
  </si>
  <si>
    <t xml:space="preserve">ARTEXO S.L. </t>
  </si>
  <si>
    <t xml:space="preserve">ESB67936716</t>
  </si>
  <si>
    <t xml:space="preserve">AVDA NOVO MESOIRO Nº 2</t>
  </si>
  <si>
    <t xml:space="preserve">988212119</t>
  </si>
  <si>
    <t xml:space="preserve">ARTEXO</t>
  </si>
  <si>
    <t xml:space="preserve">4000010798</t>
  </si>
  <si>
    <t xml:space="preserve">__import__.res_partner_20000010799</t>
  </si>
  <si>
    <t xml:space="preserve">20000010799</t>
  </si>
  <si>
    <t xml:space="preserve">UAB TOYS INVESTMENT</t>
  </si>
  <si>
    <t xml:space="preserve">ESN0268180G</t>
  </si>
  <si>
    <t xml:space="preserve">05120</t>
  </si>
  <si>
    <t xml:space="preserve">LAISVES PR. 60</t>
  </si>
  <si>
    <t xml:space="preserve">VILNIUS</t>
  </si>
  <si>
    <t xml:space="preserve">LATVIA</t>
  </si>
  <si>
    <t xml:space="preserve">4000010799</t>
  </si>
  <si>
    <t xml:space="preserve">__import__.res_partner_20000010800</t>
  </si>
  <si>
    <t xml:space="preserve">20000010800</t>
  </si>
  <si>
    <t xml:space="preserve">DURABLE HUNKE &amp; JOCHHEIM GMBH &amp; Co. KG</t>
  </si>
  <si>
    <t xml:space="preserve">DE125573944</t>
  </si>
  <si>
    <t xml:space="preserve">58636</t>
  </si>
  <si>
    <t xml:space="preserve">WESTFALENSTRABE, 77-79</t>
  </si>
  <si>
    <t xml:space="preserve">ISERLOHN</t>
  </si>
  <si>
    <t xml:space="preserve">fernando.fontana@durable.de</t>
  </si>
  <si>
    <t xml:space="preserve">699 822 086</t>
  </si>
  <si>
    <t xml:space="preserve">DRESDEFF445</t>
  </si>
  <si>
    <t xml:space="preserve">DE84445800700703770300</t>
  </si>
  <si>
    <t xml:space="preserve">DURABLE</t>
  </si>
  <si>
    <t xml:space="preserve">4000010800</t>
  </si>
  <si>
    <t xml:space="preserve">PEDIDO PARA PORTES PAGADOS 250€</t>
  </si>
  <si>
    <t xml:space="preserve">__import__.res_partner_20000010801</t>
  </si>
  <si>
    <t xml:space="preserve">20000010801</t>
  </si>
  <si>
    <t xml:space="preserve">THE NAVIGATOR COMPANY, S.A</t>
  </si>
  <si>
    <t xml:space="preserve">PT503025798</t>
  </si>
  <si>
    <t xml:space="preserve">2901-861</t>
  </si>
  <si>
    <t xml:space="preserve">MITRENA - APARTADO 55</t>
  </si>
  <si>
    <t xml:space="preserve">SETUBAL</t>
  </si>
  <si>
    <t xml:space="preserve">celia.aguero@thenavigatorcompany.com</t>
  </si>
  <si>
    <t xml:space="preserve">4000010801</t>
  </si>
  <si>
    <t xml:space="preserve">DTO P.P 2,5% (Aplicar en precio)
F.Pago: 7 días.
Reclamaciones por la web
</t>
  </si>
  <si>
    <t xml:space="preserve">__import__.res_partner_20000010802</t>
  </si>
  <si>
    <t xml:space="preserve">20000010802</t>
  </si>
  <si>
    <t xml:space="preserve">TRANSPORTES MOURE MILLARA, S.L.U</t>
  </si>
  <si>
    <t xml:space="preserve">ESB19844778</t>
  </si>
  <si>
    <t xml:space="preserve">MARTIZAS, 12</t>
  </si>
  <si>
    <t xml:space="preserve">ivanmouremillara@gmail.com</t>
  </si>
  <si>
    <t xml:space="preserve">687 90 13 24</t>
  </si>
  <si>
    <t xml:space="preserve">ES0900497817172310009241</t>
  </si>
  <si>
    <t xml:space="preserve">TRANSPORTES MOURE MILLARA</t>
  </si>
  <si>
    <t xml:space="preserve">4000010802</t>
  </si>
  <si>
    <t xml:space="preserve">__import__.res_partner_20000010803</t>
  </si>
  <si>
    <t xml:space="preserve">20000010803</t>
  </si>
  <si>
    <t xml:space="preserve">ACCESORIOS LOURO, S.L.</t>
  </si>
  <si>
    <t xml:space="preserve">ESB36115053</t>
  </si>
  <si>
    <t xml:space="preserve">PONTENOVA, 20B</t>
  </si>
  <si>
    <t xml:space="preserve">986 600 317</t>
  </si>
  <si>
    <t xml:space="preserve">ACCESORIOS LOURO</t>
  </si>
  <si>
    <t xml:space="preserve">4000010803</t>
  </si>
  <si>
    <t xml:space="preserve">__import__.res_partner_20000010804</t>
  </si>
  <si>
    <t xml:space="preserve">20000010804</t>
  </si>
  <si>
    <t xml:space="preserve">REC. PLASTICOS LA CAÑIZA, S.L.</t>
  </si>
  <si>
    <t xml:space="preserve">ESB14934798</t>
  </si>
  <si>
    <t xml:space="preserve">36880</t>
  </si>
  <si>
    <t xml:space="preserve">POL. ZONA SUR PARC 6</t>
  </si>
  <si>
    <t xml:space="preserve">A CAÑIZA</t>
  </si>
  <si>
    <t xml:space="preserve">957 32 57 52</t>
  </si>
  <si>
    <t xml:space="preserve">ES7200494457002010005105</t>
  </si>
  <si>
    <t xml:space="preserve">4000010804</t>
  </si>
  <si>
    <t xml:space="preserve">__import__.res_partner_20000010805</t>
  </si>
  <si>
    <t xml:space="preserve">20000010805</t>
  </si>
  <si>
    <t xml:space="preserve">ENTERPRISE FORMACIÓN, S.L.</t>
  </si>
  <si>
    <t xml:space="preserve">ESB56952286</t>
  </si>
  <si>
    <t xml:space="preserve">41020</t>
  </si>
  <si>
    <t xml:space="preserve">AVDA INNOVACIÓN, 11</t>
  </si>
  <si>
    <t xml:space="preserve">954 368 843</t>
  </si>
  <si>
    <t xml:space="preserve">ENTERPRISE FORMACIÓN</t>
  </si>
  <si>
    <t xml:space="preserve">4000010805</t>
  </si>
  <si>
    <t xml:space="preserve">__import__.res_partner_20000010806</t>
  </si>
  <si>
    <t xml:space="preserve">20000010806</t>
  </si>
  <si>
    <t xml:space="preserve">EXADI DISTRIBUCION MAYORISTA, S.L.</t>
  </si>
  <si>
    <t xml:space="preserve">ESB56844343</t>
  </si>
  <si>
    <t xml:space="preserve">PARQUE EMPRESARIAL  CAMPOLLANO CALLE A 27</t>
  </si>
  <si>
    <t xml:space="preserve">4000010806</t>
  </si>
  <si>
    <t xml:space="preserve">contabilidade@doustrazos.com
Dous.2011</t>
  </si>
  <si>
    <t xml:space="preserve">__import__.res_partner_20000010819</t>
  </si>
  <si>
    <t xml:space="preserve">20000010819</t>
  </si>
  <si>
    <t xml:space="preserve">BB SPORT GMBH &amp; CO</t>
  </si>
  <si>
    <t xml:space="preserve">ESN2766047A</t>
  </si>
  <si>
    <t xml:space="preserve">84513</t>
  </si>
  <si>
    <t xml:space="preserve">KG SODERBERGSTR, 14D</t>
  </si>
  <si>
    <t xml:space="preserve">TOGING AM INN</t>
  </si>
  <si>
    <t xml:space="preserve">4000010819</t>
  </si>
  <si>
    <t xml:space="preserve">__import__.res_partner_20000010821</t>
  </si>
  <si>
    <t xml:space="preserve">20000010821</t>
  </si>
  <si>
    <t xml:space="preserve">GL GROUP-2016 LTD</t>
  </si>
  <si>
    <t xml:space="preserve">ESN0681846B</t>
  </si>
  <si>
    <t xml:space="preserve">5370</t>
  </si>
  <si>
    <t xml:space="preserve">VASIL LEVSKI, 36</t>
  </si>
  <si>
    <t xml:space="preserve">DRYANOVO, GABROVO</t>
  </si>
  <si>
    <t xml:space="preserve">4000010821</t>
  </si>
  <si>
    <t xml:space="preserve">__import__.res_partner_20000010822</t>
  </si>
  <si>
    <t xml:space="preserve">20000010822</t>
  </si>
  <si>
    <t xml:space="preserve">SHENZHEN DAFANG SUPPLY CHAIN MANAGEMENT CO, LTD</t>
  </si>
  <si>
    <t xml:space="preserve">ESN0093173C</t>
  </si>
  <si>
    <t xml:space="preserve">518102</t>
  </si>
  <si>
    <t xml:space="preserve">XIXIANGIJEDAO</t>
  </si>
  <si>
    <t xml:space="preserve">SHENZHENSHI</t>
  </si>
  <si>
    <t xml:space="preserve">4000010822</t>
  </si>
  <si>
    <t xml:space="preserve">__import__.res_partner_20000010825</t>
  </si>
  <si>
    <t xml:space="preserve">20000010825</t>
  </si>
  <si>
    <t xml:space="preserve">ALBERTO CARNERO BAZ</t>
  </si>
  <si>
    <t xml:space="preserve">ES36020541B</t>
  </si>
  <si>
    <t xml:space="preserve">CL. CAMELIAS, 89, 7C</t>
  </si>
  <si>
    <t xml:space="preserve">4000010825</t>
  </si>
  <si>
    <t xml:space="preserve">__import__.res_partner_20000010826</t>
  </si>
  <si>
    <t xml:space="preserve">20000010826</t>
  </si>
  <si>
    <t xml:space="preserve">DO IT TOGETHER, S.L.</t>
  </si>
  <si>
    <t xml:space="preserve">ESB86833035</t>
  </si>
  <si>
    <t xml:space="preserve">AREAL, 86 BAIXO</t>
  </si>
  <si>
    <t xml:space="preserve">info@ohnaif.com</t>
  </si>
  <si>
    <t xml:space="preserve">986 136 617</t>
  </si>
  <si>
    <t xml:space="preserve">OH NAIF.COM</t>
  </si>
  <si>
    <t xml:space="preserve">4000010826</t>
  </si>
  <si>
    <t xml:space="preserve">usuario: info@doustrazos.com
Contraseña: Dous2011</t>
  </si>
  <si>
    <t xml:space="preserve">__import__.res_partner_20000010827</t>
  </si>
  <si>
    <t xml:space="preserve">20000010827</t>
  </si>
  <si>
    <t xml:space="preserve">EDI 99 RECAMBIOS Y ACCESORIOS, S.L.</t>
  </si>
  <si>
    <t xml:space="preserve">ESB36859569</t>
  </si>
  <si>
    <t xml:space="preserve">CL. PARALELA 3 PARC 211 B 17B</t>
  </si>
  <si>
    <t xml:space="preserve">4000010827</t>
  </si>
  <si>
    <t xml:space="preserve">__import__.res_partner_20000010828</t>
  </si>
  <si>
    <t xml:space="preserve">20000010828</t>
  </si>
  <si>
    <t xml:space="preserve">LEROY MERLIN ESPAÑA, S.L.U</t>
  </si>
  <si>
    <t xml:space="preserve">ESB84818442</t>
  </si>
  <si>
    <t xml:space="preserve">AVDA DE LA VEGA 2</t>
  </si>
  <si>
    <t xml:space="preserve">4000010828</t>
  </si>
  <si>
    <t xml:space="preserve">__import__.res_partner_20000010829</t>
  </si>
  <si>
    <t xml:space="preserve">20000010829</t>
  </si>
  <si>
    <t xml:space="preserve">ANTONIO SOUSA SOUSA</t>
  </si>
  <si>
    <t xml:space="preserve">ES35552800K</t>
  </si>
  <si>
    <t xml:space="preserve">36713</t>
  </si>
  <si>
    <t xml:space="preserve">ESTRADA, 77</t>
  </si>
  <si>
    <t xml:space="preserve">almino@aluminiostui.com</t>
  </si>
  <si>
    <t xml:space="preserve">986603540</t>
  </si>
  <si>
    <t xml:space="preserve">ALMIÑO</t>
  </si>
  <si>
    <t xml:space="preserve">4000010829</t>
  </si>
  <si>
    <t xml:space="preserve">__import__.res_partner_20000010830</t>
  </si>
  <si>
    <t xml:space="preserve">20000010830</t>
  </si>
  <si>
    <t xml:space="preserve">SHUCHUN LU</t>
  </si>
  <si>
    <t xml:space="preserve">ESX6752924D</t>
  </si>
  <si>
    <t xml:space="preserve">DOCTOR FERNANDEZ DE LA VEGA, 24</t>
  </si>
  <si>
    <t xml:space="preserve">688 010 589</t>
  </si>
  <si>
    <t xml:space="preserve">4000010830</t>
  </si>
  <si>
    <t xml:space="preserve">__import__.res_partner_20000010831</t>
  </si>
  <si>
    <t xml:space="preserve">20000010831</t>
  </si>
  <si>
    <t xml:space="preserve">NEWMIND INNOVATION, S.L</t>
  </si>
  <si>
    <t xml:space="preserve">ESB10879922</t>
  </si>
  <si>
    <t xml:space="preserve">32314</t>
  </si>
  <si>
    <t xml:space="preserve">MILLAROUSO, 6</t>
  </si>
  <si>
    <t xml:space="preserve">O BARCO DE VALDEORRAS</t>
  </si>
  <si>
    <t xml:space="preserve">4000010831</t>
  </si>
  <si>
    <t xml:space="preserve">__import__.res_partner_20000010832</t>
  </si>
  <si>
    <t xml:space="preserve">20000010832</t>
  </si>
  <si>
    <t xml:space="preserve">OFICINA CONJUNTA DE RECAUDACION DE ARTISTAS Y PRODUCTORES, UTE</t>
  </si>
  <si>
    <t xml:space="preserve">ESU87718094</t>
  </si>
  <si>
    <t xml:space="preserve">ORENSE, 81</t>
  </si>
  <si>
    <t xml:space="preserve">919434241</t>
  </si>
  <si>
    <t xml:space="preserve">AGEDI-AIE,</t>
  </si>
  <si>
    <t xml:space="preserve">4000010832</t>
  </si>
  <si>
    <t xml:space="preserve">__import__.res_partner_20000010834</t>
  </si>
  <si>
    <t xml:space="preserve">20000010834</t>
  </si>
  <si>
    <t xml:space="preserve">ISCARO INDUSTRIAL, S.L.</t>
  </si>
  <si>
    <t xml:space="preserve">ESB16401408</t>
  </si>
  <si>
    <t xml:space="preserve">CL. BOTOGUERS, 3 PL.2B</t>
  </si>
  <si>
    <t xml:space="preserve">POLIGONO FUENTE DEL JARRO</t>
  </si>
  <si>
    <t xml:space="preserve">comercial@didex.es</t>
  </si>
  <si>
    <t xml:space="preserve">DIDEX</t>
  </si>
  <si>
    <t xml:space="preserve">4000010834</t>
  </si>
  <si>
    <t xml:space="preserve">__import__.res_partner_20000010835</t>
  </si>
  <si>
    <t xml:space="preserve">20000010835</t>
  </si>
  <si>
    <t xml:space="preserve">LUDILO, S.L.U</t>
  </si>
  <si>
    <t xml:space="preserve">ESB98508963</t>
  </si>
  <si>
    <t xml:space="preserve">PARQUE EMPRESARIAL TÁCTICA CL. CORRETGER, 127</t>
  </si>
  <si>
    <t xml:space="preserve">961 152 310</t>
  </si>
  <si>
    <t xml:space="preserve">4000010835</t>
  </si>
  <si>
    <t xml:space="preserve">---
Usuario: LCLI0001913
Chave: 36554327
---
DISTRIBUIDOR LUDILO / MERCURIO 
https://danielgarcia.ntv.es/
Usuario: 43000369
chave: 36554327
</t>
  </si>
  <si>
    <t xml:space="preserve">__import__.res_partner_20000010836</t>
  </si>
  <si>
    <t xml:space="preserve">20000010836</t>
  </si>
  <si>
    <t xml:space="preserve">RAMSONS, S.A</t>
  </si>
  <si>
    <t xml:space="preserve">ESA41087354</t>
  </si>
  <si>
    <t xml:space="preserve">41006</t>
  </si>
  <si>
    <t xml:space="preserve">CL. LINO, 1</t>
  </si>
  <si>
    <t xml:space="preserve">pedidos@ramsons.es</t>
  </si>
  <si>
    <t xml:space="preserve">954 933 404</t>
  </si>
  <si>
    <t xml:space="preserve">4000010836</t>
  </si>
  <si>
    <t xml:space="preserve">__import__.res_partner_20000010837</t>
  </si>
  <si>
    <t xml:space="preserve">20000010837</t>
  </si>
  <si>
    <t xml:space="preserve">VICTORIA MELISSA TOLEDO LUNA</t>
  </si>
  <si>
    <t xml:space="preserve">ES35589961Z</t>
  </si>
  <si>
    <t xml:space="preserve">CL. LAVERDE RUIZ, 5 3B</t>
  </si>
  <si>
    <t xml:space="preserve">victoriamelissatoledoluna@gmail.com</t>
  </si>
  <si>
    <t xml:space="preserve">611 886 610</t>
  </si>
  <si>
    <t xml:space="preserve">ES9501820674120201539012</t>
  </si>
  <si>
    <t xml:space="preserve">4000010837</t>
  </si>
  <si>
    <t xml:space="preserve">__import__.res_partner_20000010838</t>
  </si>
  <si>
    <t xml:space="preserve">20000010838</t>
  </si>
  <si>
    <t xml:space="preserve">KIWA ESPAÑA, S.L.U</t>
  </si>
  <si>
    <t xml:space="preserve">ESB82944547</t>
  </si>
  <si>
    <t xml:space="preserve">CL SERPIS, 66-68</t>
  </si>
  <si>
    <t xml:space="preserve">info@kiwa.es</t>
  </si>
  <si>
    <t xml:space="preserve">963 120 710</t>
  </si>
  <si>
    <t xml:space="preserve">4000010838</t>
  </si>
  <si>
    <t xml:space="preserve">__import__.res_partner_20000010839</t>
  </si>
  <si>
    <t xml:space="preserve">20000010839</t>
  </si>
  <si>
    <t xml:space="preserve">ALINA PENCIU</t>
  </si>
  <si>
    <t xml:space="preserve">ESY1322215M</t>
  </si>
  <si>
    <t xml:space="preserve">RUA A MINADA, 3 3ºC</t>
  </si>
  <si>
    <t xml:space="preserve">4000010839</t>
  </si>
  <si>
    <t xml:space="preserve">__import__.res_partner_20000010840</t>
  </si>
  <si>
    <t xml:space="preserve">20000010840</t>
  </si>
  <si>
    <t xml:space="preserve">COTO VELOZ, S.L.</t>
  </si>
  <si>
    <t xml:space="preserve">ESB94080660</t>
  </si>
  <si>
    <t xml:space="preserve">AVDA FLORIDA, 46 BJ</t>
  </si>
  <si>
    <t xml:space="preserve">699 395 939</t>
  </si>
  <si>
    <t xml:space="preserve">CERRAJERÍA COTO VELOZ</t>
  </si>
  <si>
    <t xml:space="preserve">4000010840</t>
  </si>
  <si>
    <t xml:space="preserve">__import__.res_partner_20000010842</t>
  </si>
  <si>
    <t xml:space="preserve">20000010842</t>
  </si>
  <si>
    <t xml:space="preserve">CANDIDO MIGUEZ DE LA IGLESIA</t>
  </si>
  <si>
    <t xml:space="preserve">ES76989955P</t>
  </si>
  <si>
    <t xml:space="preserve">CL. TELMO BERNARDEZ 3</t>
  </si>
  <si>
    <t xml:space="preserve">REDONDELA </t>
  </si>
  <si>
    <t xml:space="preserve">zapateriacandi@gmail.com</t>
  </si>
  <si>
    <t xml:space="preserve">639 075456</t>
  </si>
  <si>
    <t xml:space="preserve">ZAPATERIA CANDI</t>
  </si>
  <si>
    <t xml:space="preserve">4000010842</t>
  </si>
  <si>
    <t xml:space="preserve">__import__.res_partner_20000010845</t>
  </si>
  <si>
    <t xml:space="preserve">20000010845</t>
  </si>
  <si>
    <t xml:space="preserve">TEMPEL S.A.</t>
  </si>
  <si>
    <t xml:space="preserve">C/COBALTO 4</t>
  </si>
  <si>
    <t xml:space="preserve">jesus.garcia@tempelgroup.com</t>
  </si>
  <si>
    <t xml:space="preserve">936003600</t>
  </si>
  <si>
    <t xml:space="preserve">TEMPEL</t>
  </si>
  <si>
    <t xml:space="preserve">4000010845</t>
  </si>
  <si>
    <t xml:space="preserve">__import__.res_partner_20000010846</t>
  </si>
  <si>
    <t xml:space="preserve">20000010846</t>
  </si>
  <si>
    <t xml:space="preserve">IBERBARNA PAPEL, S.A.U</t>
  </si>
  <si>
    <t xml:space="preserve">ESA61457792</t>
  </si>
  <si>
    <t xml:space="preserve">08912</t>
  </si>
  <si>
    <t xml:space="preserve">CL. FRANCESC LAYRET, 52, 3, 1ªPL</t>
  </si>
  <si>
    <t xml:space="preserve">BADALONA</t>
  </si>
  <si>
    <t xml:space="preserve">93 462 04 47</t>
  </si>
  <si>
    <t xml:space="preserve">4000010846</t>
  </si>
  <si>
    <t xml:space="preserve">__import__.res_partner_20000010847</t>
  </si>
  <si>
    <t xml:space="preserve">20000010847</t>
  </si>
  <si>
    <t xml:space="preserve">EQUABY PREVENCION, S.L.</t>
  </si>
  <si>
    <t xml:space="preserve">ESB15977622</t>
  </si>
  <si>
    <t xml:space="preserve">CC. AREA CENTRAL, 1ªPLANTA L33H</t>
  </si>
  <si>
    <t xml:space="preserve">981 935 954</t>
  </si>
  <si>
    <t xml:space="preserve">4000010847</t>
  </si>
  <si>
    <t xml:space="preserve">__import__.res_partner_20000010848</t>
  </si>
  <si>
    <t xml:space="preserve">20000010848</t>
  </si>
  <si>
    <t xml:space="preserve">ADEVINTA JOBS, S.L.U</t>
  </si>
  <si>
    <t xml:space="preserve">ESB70813365</t>
  </si>
  <si>
    <t xml:space="preserve">CL HERNANI, 59 1ª</t>
  </si>
  <si>
    <t xml:space="preserve">INFO JOBS</t>
  </si>
  <si>
    <t xml:space="preserve">4000010848</t>
  </si>
  <si>
    <t xml:space="preserve">__import__.res_partner_20000010849</t>
  </si>
  <si>
    <t xml:space="preserve">20000010849</t>
  </si>
  <si>
    <t xml:space="preserve">DINAHOSTING, S.L.</t>
  </si>
  <si>
    <t xml:space="preserve">ESB15805419</t>
  </si>
  <si>
    <t xml:space="preserve">SALVADAS, 41 BJ</t>
  </si>
  <si>
    <t xml:space="preserve">4000010849</t>
  </si>
  <si>
    <t xml:space="preserve">__import__.res_partner_20000010851</t>
  </si>
  <si>
    <t xml:space="preserve">20000010851</t>
  </si>
  <si>
    <t xml:space="preserve">INSIGHT HUNTERS, S.L.</t>
  </si>
  <si>
    <t xml:space="preserve">ESB65714313</t>
  </si>
  <si>
    <t xml:space="preserve">CL. PALLARS 85, 6, 4</t>
  </si>
  <si>
    <t xml:space="preserve">93 029 2719</t>
  </si>
  <si>
    <t xml:space="preserve">4000010851</t>
  </si>
  <si>
    <t xml:space="preserve">__import__.res_partner_20000010853</t>
  </si>
  <si>
    <t xml:space="preserve">20000010853</t>
  </si>
  <si>
    <t xml:space="preserve">JUGUETES CAYRO, S.L.</t>
  </si>
  <si>
    <t xml:space="preserve">ESB03021243</t>
  </si>
  <si>
    <t xml:space="preserve">POL. IND. JUYARCO, 54</t>
  </si>
  <si>
    <t xml:space="preserve">admin@cayro.es</t>
  </si>
  <si>
    <t xml:space="preserve">965 781 482</t>
  </si>
  <si>
    <t xml:space="preserve">4000010853</t>
  </si>
  <si>
    <t xml:space="preserve">Usuario: info@doustrazos.com
Chave: Dous2011.  
(a chave é co punto incluído)
CONDICIÓNS:
- Descuento de 13 % en todas las referencias no marcadas como Precio Neto ( fondo gris= Precio Neto )
- Pedido mínimo de 150 euros netos más impuestos a lo que hay que sumar 8 euros de portes.
- Pedidos a partir de 300 euros netos más impuestos, los portes son gratis.
    Puedes pedir unidades sueltas de cada referencia de vuestra elección, no hay necesidad de atenerse a caja estándar.
</t>
  </si>
  <si>
    <t xml:space="preserve">__import__.res_partner_20000010854</t>
  </si>
  <si>
    <t xml:space="preserve">20000010854</t>
  </si>
  <si>
    <t xml:space="preserve">OMNI TREND, S.L.U</t>
  </si>
  <si>
    <t xml:space="preserve">ESB86814373</t>
  </si>
  <si>
    <t xml:space="preserve">CL. PUEBLA, 15, 3ºIZQ B</t>
  </si>
  <si>
    <t xml:space="preserve">comercial@omnitrend.es</t>
  </si>
  <si>
    <t xml:space="preserve">918 084 625</t>
  </si>
  <si>
    <t xml:space="preserve">OMNI TREND</t>
  </si>
  <si>
    <t xml:space="preserve">4000010854</t>
  </si>
  <si>
    <t xml:space="preserve">__import__.res_partner_20000010855</t>
  </si>
  <si>
    <t xml:space="preserve">20000010855</t>
  </si>
  <si>
    <t xml:space="preserve">AMAZON EU SARL SUCCURSALE FRANÇAISE</t>
  </si>
  <si>
    <t xml:space="preserve">FR1248777332</t>
  </si>
  <si>
    <t xml:space="preserve">92110</t>
  </si>
  <si>
    <t xml:space="preserve">67 BOULEVARD DU GENERAL LECLERC</t>
  </si>
  <si>
    <t xml:space="preserve">CLICHY</t>
  </si>
  <si>
    <t xml:space="preserve">4000010855</t>
  </si>
  <si>
    <t xml:space="preserve">__import__.res_partner_20000010858</t>
  </si>
  <si>
    <t xml:space="preserve">20000010858</t>
  </si>
  <si>
    <t xml:space="preserve">SONORA SYSTEM S.L.</t>
  </si>
  <si>
    <t xml:space="preserve">ESB82807082</t>
  </si>
  <si>
    <t xml:space="preserve">28936</t>
  </si>
  <si>
    <t xml:space="preserve">C/VENUS, 2 NAVE 31</t>
  </si>
  <si>
    <t xml:space="preserve">MóSTOLES</t>
  </si>
  <si>
    <t xml:space="preserve">mail@mercurio.com</t>
  </si>
  <si>
    <t xml:space="preserve">916686480</t>
  </si>
  <si>
    <t xml:space="preserve">MERCURIO </t>
  </si>
  <si>
    <t xml:space="preserve">4000010858</t>
  </si>
  <si>
    <r>
      <rPr>
        <sz val="11"/>
        <color rgb="FF000000"/>
        <rFont val="Calibri"/>
        <family val="2"/>
        <charset val="1"/>
      </rPr>
      <t xml:space="preserve">DESCUENTO 40%
</t>
    </r>
    <r>
      <rPr>
        <sz val="10"/>
        <color rgb="FF000000"/>
        <rFont val="Arial"/>
        <family val="2"/>
        <charset val="1"/>
      </rPr>
      <t xml:space="preserve">PORTES PAGOS 300€</t>
    </r>
  </si>
  <si>
    <t xml:space="preserve">__import__.res_partner_20000010859</t>
  </si>
  <si>
    <t xml:space="preserve">20000010859</t>
  </si>
  <si>
    <t xml:space="preserve">CGNORTH153, S.L.</t>
  </si>
  <si>
    <t xml:space="preserve">ESB24775249</t>
  </si>
  <si>
    <t xml:space="preserve">33423</t>
  </si>
  <si>
    <t xml:space="preserve">CL LOS TEXOS, 8</t>
  </si>
  <si>
    <t xml:space="preserve">SOTO DE LLANERA, Urbanizacion</t>
  </si>
  <si>
    <t xml:space="preserve">4000010859</t>
  </si>
  <si>
    <t xml:space="preserve">__import__.res_partner_20000010860</t>
  </si>
  <si>
    <t xml:space="preserve">20000010860</t>
  </si>
  <si>
    <t xml:space="preserve">VANESA FERREIRA RODRIGUEZ</t>
  </si>
  <si>
    <t xml:space="preserve">ES36137158H</t>
  </si>
  <si>
    <t xml:space="preserve">36379</t>
  </si>
  <si>
    <t xml:space="preserve">CÑO. FONTE DO VELLO, 16</t>
  </si>
  <si>
    <t xml:space="preserve">edicionsfetiche@gmail.com</t>
  </si>
  <si>
    <t xml:space="preserve">674 190 028</t>
  </si>
  <si>
    <t xml:space="preserve">ES3315632626363262977885</t>
  </si>
  <si>
    <t xml:space="preserve">EDICIONS E PRODUCIONS FETICHE</t>
  </si>
  <si>
    <t xml:space="preserve">4000010860</t>
  </si>
  <si>
    <t xml:space="preserve">__import__.res_partner_20000010861</t>
  </si>
  <si>
    <t xml:space="preserve">20000010861</t>
  </si>
  <si>
    <t xml:space="preserve">CARGLASS, S.L.U</t>
  </si>
  <si>
    <t xml:space="preserve">ESB87956751</t>
  </si>
  <si>
    <t xml:space="preserve">FACUNDO BACARDÍ I MASSÓ, 7-11</t>
  </si>
  <si>
    <t xml:space="preserve">935617100</t>
  </si>
  <si>
    <t xml:space="preserve">4000010861</t>
  </si>
  <si>
    <t xml:space="preserve">__import__.res_partner_20000010862</t>
  </si>
  <si>
    <t xml:space="preserve">20000010862</t>
  </si>
  <si>
    <t xml:space="preserve">CREATIVE QUALITY, S.L.</t>
  </si>
  <si>
    <t xml:space="preserve">ESB18799353</t>
  </si>
  <si>
    <t xml:space="preserve">18004</t>
  </si>
  <si>
    <t xml:space="preserve">CL. ARABIAL, 45</t>
  </si>
  <si>
    <t xml:space="preserve">costela@netcontrata.es</t>
  </si>
  <si>
    <t xml:space="preserve">958 536 056</t>
  </si>
  <si>
    <t xml:space="preserve">TIMELABORIS</t>
  </si>
  <si>
    <t xml:space="preserve">4000010862</t>
  </si>
  <si>
    <t xml:space="preserve">__import__.res_partner_20000010863</t>
  </si>
  <si>
    <t xml:space="preserve">20000010863</t>
  </si>
  <si>
    <t xml:space="preserve">OSSO FONDO GROUP, S.L.</t>
  </si>
  <si>
    <t xml:space="preserve">ESB86836517</t>
  </si>
  <si>
    <t xml:space="preserve">CL. PARROQUIA DE LUBRE, 26 - BERGONDO</t>
  </si>
  <si>
    <t xml:space="preserve">981 78 37 37</t>
  </si>
  <si>
    <t xml:space="preserve">COMPUTING REALE</t>
  </si>
  <si>
    <t xml:space="preserve">4000010863</t>
  </si>
  <si>
    <t xml:space="preserve">__import__.res_partner_20000010864</t>
  </si>
  <si>
    <t xml:space="preserve">20000010864</t>
  </si>
  <si>
    <t xml:space="preserve">CARPOTRANS, S.L.</t>
  </si>
  <si>
    <t xml:space="preserve">ESB94131166</t>
  </si>
  <si>
    <t xml:space="preserve">CL. FELICIANO BARRERA, 2 2J</t>
  </si>
  <si>
    <t xml:space="preserve">629 133 280</t>
  </si>
  <si>
    <t xml:space="preserve">TRANSPORTES PORTO</t>
  </si>
  <si>
    <t xml:space="preserve">4000010864</t>
  </si>
  <si>
    <t xml:space="preserve">__import__.res_partner_20000010865</t>
  </si>
  <si>
    <t xml:space="preserve">20000010865</t>
  </si>
  <si>
    <t xml:space="preserve">HOMEKIT, S.L.</t>
  </si>
  <si>
    <t xml:space="preserve">ESB32319618</t>
  </si>
  <si>
    <t xml:space="preserve">AVDA ALCALDE LAVADORES, 122</t>
  </si>
  <si>
    <t xml:space="preserve">986 954 005</t>
  </si>
  <si>
    <t xml:space="preserve">MASTERLED</t>
  </si>
  <si>
    <t xml:space="preserve">4000010865</t>
  </si>
  <si>
    <t xml:space="preserve">__import__.res_partner_20000010866</t>
  </si>
  <si>
    <t xml:space="preserve">20000010866</t>
  </si>
  <si>
    <t xml:space="preserve">PERFECTO DÍAZ E HIJOS, S.L.</t>
  </si>
  <si>
    <t xml:space="preserve">ESB36050359</t>
  </si>
  <si>
    <t xml:space="preserve">LA GUÍA - ATIOS S/N</t>
  </si>
  <si>
    <t xml:space="preserve">GRUPO DÍAZ</t>
  </si>
  <si>
    <t xml:space="preserve">4000010866</t>
  </si>
  <si>
    <t xml:space="preserve">__import__.res_partner_20000010867</t>
  </si>
  <si>
    <t xml:space="preserve">20000010867</t>
  </si>
  <si>
    <t xml:space="preserve">INDUSTRIAS PROA, S.A</t>
  </si>
  <si>
    <t xml:space="preserve">ESA36603967</t>
  </si>
  <si>
    <t xml:space="preserve">GANDARAS DE PRADO, S/N</t>
  </si>
  <si>
    <t xml:space="preserve">fabrica@pinturasproa.com</t>
  </si>
  <si>
    <t xml:space="preserve">986 346 525</t>
  </si>
  <si>
    <t xml:space="preserve">4000010867</t>
  </si>
  <si>
    <t xml:space="preserve">__import__.res_partner_20000010868</t>
  </si>
  <si>
    <t xml:space="preserve">20000010868</t>
  </si>
  <si>
    <t xml:space="preserve">GRUCAFON, S.L.</t>
  </si>
  <si>
    <t xml:space="preserve">ESB36497261</t>
  </si>
  <si>
    <t xml:space="preserve">CAMIÑO QUIRINGOSTA, 12</t>
  </si>
  <si>
    <t xml:space="preserve">GRUCAFON</t>
  </si>
  <si>
    <t xml:space="preserve">4000010868</t>
  </si>
  <si>
    <t xml:space="preserve">__import__.res_partner_20000100277</t>
  </si>
  <si>
    <t xml:space="preserve">20000100277</t>
  </si>
  <si>
    <t xml:space="preserve">P.N.P. PLAST ITALY S.R.L.</t>
  </si>
  <si>
    <t xml:space="preserve">IT0243805046</t>
  </si>
  <si>
    <t xml:space="preserve">55011</t>
  </si>
  <si>
    <t xml:space="preserve">LOC. TORRE SALESE 8 - VIA PONTE AI PINI</t>
  </si>
  <si>
    <t xml:space="preserve">SPIANATE - ALTOPASCIO</t>
  </si>
  <si>
    <t xml:space="preserve">IT55R0200824701000103803551</t>
  </si>
  <si>
    <t xml:space="preserve">4000100277</t>
  </si>
  <si>
    <t xml:space="preserve">Username: DOUSTRAZOS 
Password: 123456789Dt 
Per accedere clicca sul link sottostante:
https://pnpplast.it/en/login/  
</t>
  </si>
  <si>
    <t xml:space="preserve">company_type</t>
  </si>
  <si>
    <t xml:space="preserve">category_id</t>
  </si>
  <si>
    <t xml:space="preserve">bank_ids/bank_id</t>
  </si>
  <si>
    <t xml:space="preserve">bank_ids/bank_bic</t>
  </si>
  <si>
    <t xml:space="preserve">bank_ids/acc_number</t>
  </si>
  <si>
    <t xml:space="preserve">__import__.res_partner_000000001</t>
  </si>
  <si>
    <t xml:space="preserve">Compañía 1</t>
  </si>
  <si>
    <t xml:space="preserve">Compañía</t>
  </si>
  <si>
    <t xml:space="preserve">Contacto</t>
  </si>
  <si>
    <t xml:space="preserve">ESB99999999</t>
  </si>
  <si>
    <t xml:space="preserve">50014</t>
  </si>
  <si>
    <t xml:space="preserve">CALLE 1, 1º , esc izq</t>
  </si>
  <si>
    <t xml:space="preserve">POLÍGONO INDUSTRIAL COGULLADA</t>
  </si>
  <si>
    <t xml:space="preserve">España</t>
  </si>
  <si>
    <t xml:space="preserve">__import__.res_partner_000000002</t>
  </si>
  <si>
    <t xml:space="preserve">Pepe García</t>
  </si>
  <si>
    <t xml:space="preserve">Individuo</t>
  </si>
  <si>
    <t xml:space="preserve">Gerente</t>
  </si>
  <si>
    <t xml:space="preserve">ES12345679A</t>
  </si>
  <si>
    <t xml:space="preserve">info@empresa1.com</t>
  </si>
  <si>
    <t xml:space="preserve">__import__.res_partner_000000003</t>
  </si>
  <si>
    <t xml:space="preserve">Tienda</t>
  </si>
  <si>
    <t xml:space="preserve">Dirección de entrega</t>
  </si>
  <si>
    <t xml:space="preserve">50003</t>
  </si>
  <si>
    <t xml:space="preserve">JOAQUIN COSTA, 3</t>
  </si>
  <si>
    <t xml:space="preserve">__import__.res_partner_000000004</t>
  </si>
  <si>
    <t xml:space="preserve">Compañía 2</t>
  </si>
  <si>
    <t xml:space="preserve">ESB99999991</t>
  </si>
  <si>
    <t xml:space="preserve">PLAZA URRÍES, 1</t>
  </si>
  <si>
    <t xml:space="preserve">HUESCA</t>
  </si>
  <si>
    <t xml:space="preserve">info@empresa2.com</t>
  </si>
  <si>
    <t xml:space="preserve">__import__.res_partner_000000005</t>
  </si>
  <si>
    <t xml:space="preserve">Raúl Pérez Gracia</t>
  </si>
  <si>
    <t xml:space="preserve">Encargado de compras</t>
  </si>
  <si>
    <t xml:space="preserve">50008</t>
  </si>
  <si>
    <t xml:space="preserve">JOSÉ MARÍA LACARRA DE MIGUEL, 40</t>
  </si>
  <si>
    <t xml:space="preserve">__import__.res_partner_000000006</t>
  </si>
  <si>
    <t xml:space="preserve">María García</t>
  </si>
  <si>
    <t xml:space="preserve">ES12345678A</t>
  </si>
  <si>
    <t xml:space="preserve">gerencia@empresa2.com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</si>
</sst>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ria@doustrazos.com" TargetMode="External"/><Relationship Id="rId2" Type="http://schemas.openxmlformats.org/officeDocument/2006/relationships/hyperlink" Target="https://fabe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ria@doustrazos.com" TargetMode="External"/><Relationship Id="rId2" Type="http://schemas.openxmlformats.org/officeDocument/2006/relationships/hyperlink" Target="https://faber/" TargetMode="External"/><Relationship Id="rId3" Type="http://schemas.openxmlformats.org/officeDocument/2006/relationships/hyperlink" Target="mailto:MPALAZON@STAEDTLER.ES" TargetMode="External"/><Relationship Id="rId4" Type="http://schemas.openxmlformats.org/officeDocument/2006/relationships/hyperlink" Target="mailto:bbustelo@dohe.es" TargetMode="External"/><Relationship Id="rId5" Type="http://schemas.openxmlformats.org/officeDocument/2006/relationships/hyperlink" Target="mailto:sellos@marcajeygrabado.com" TargetMode="External"/><Relationship Id="rId6" Type="http://schemas.openxmlformats.org/officeDocument/2006/relationships/hyperlink" Target="https://drive.google.com/drive/u/0/folders/1Lt9F0ljvRLpa8EqLwo3dqXfr3BbJEDp6" TargetMode="External"/><Relationship Id="rId7" Type="http://schemas.openxmlformats.org/officeDocument/2006/relationships/hyperlink" Target="mailto:r.regueira@liderpapel.com" TargetMode="External"/><Relationship Id="rId8" Type="http://schemas.openxmlformats.org/officeDocument/2006/relationships/hyperlink" Target="mailto:CARLIN@DOUSTRAZOS.COM" TargetMode="External"/><Relationship Id="rId9" Type="http://schemas.openxmlformats.org/officeDocument/2006/relationships/hyperlink" Target="mailto:CESAR.ANTUNES@HAMELINBRANDS.COM" TargetMode="External"/><Relationship Id="rId10" Type="http://schemas.openxmlformats.org/officeDocument/2006/relationships/hyperlink" Target="mailto:MARIA@DOUSTRAZOS.COM" TargetMode="External"/><Relationship Id="rId11" Type="http://schemas.openxmlformats.org/officeDocument/2006/relationships/hyperlink" Target="https://www.dropbox.com/sh/qcgaen34my08npe/AABgN3_IBtvfoHDoPiNBCoGna?dl=0" TargetMode="External"/><Relationship Id="rId12" Type="http://schemas.openxmlformats.org/officeDocument/2006/relationships/hyperlink" Target="https://olo3.apli.com/login" TargetMode="External"/><Relationship Id="rId13" Type="http://schemas.openxmlformats.org/officeDocument/2006/relationships/hyperlink" Target="mailto:info@doustrazos.com" TargetMode="External"/><Relationship Id="rId14" Type="http://schemas.openxmlformats.org/officeDocument/2006/relationships/hyperlink" Target="mailto:PEDIDOS@ARCHIVO2000.ES" TargetMode="External"/><Relationship Id="rId15" Type="http://schemas.openxmlformats.org/officeDocument/2006/relationships/hyperlink" Target="mailto:pedidos@carchidea.com" TargetMode="External"/><Relationship Id="rId16" Type="http://schemas.openxmlformats.org/officeDocument/2006/relationships/hyperlink" Target="mailto:siex@siex.net" TargetMode="External"/><Relationship Id="rId17" Type="http://schemas.openxmlformats.org/officeDocument/2006/relationships/hyperlink" Target="https://tottoemea.my.site.com/s/" TargetMode="External"/><Relationship Id="rId18" Type="http://schemas.openxmlformats.org/officeDocument/2006/relationships/hyperlink" Target="mailto:pedidos.cga@anaya.es" TargetMode="External"/><Relationship Id="rId19" Type="http://schemas.openxmlformats.org/officeDocument/2006/relationships/hyperlink" Target="https://portalclientes.grupo-sm.com/" TargetMode="External"/><Relationship Id="rId20" Type="http://schemas.openxmlformats.org/officeDocument/2006/relationships/hyperlink" Target="mailto:jovical@jovical.com" TargetMode="External"/><Relationship Id="rId21" Type="http://schemas.openxmlformats.org/officeDocument/2006/relationships/hyperlink" Target="https://portalclientes.mundo-r.com/" TargetMode="External"/><Relationship Id="rId22" Type="http://schemas.openxmlformats.org/officeDocument/2006/relationships/hyperlink" Target="http://www.makito.es/" TargetMode="External"/><Relationship Id="rId23" Type="http://schemas.openxmlformats.org/officeDocument/2006/relationships/hyperlink" Target="https://www.torrasdistribucion.com/" TargetMode="External"/><Relationship Id="rId24" Type="http://schemas.openxmlformats.org/officeDocument/2006/relationships/hyperlink" Target="mailto:jmpereira@dous" TargetMode="External"/><Relationship Id="rId25" Type="http://schemas.openxmlformats.org/officeDocument/2006/relationships/hyperlink" Target="https://www.repsol.es/autonomos-y-empresas/area-privada/" TargetMode="External"/><Relationship Id="rId26" Type="http://schemas.openxmlformats.org/officeDocument/2006/relationships/hyperlink" Target="mailto:carlin@doustrazos.com" TargetMode="External"/><Relationship Id="rId27" Type="http://schemas.openxmlformats.org/officeDocument/2006/relationships/hyperlink" Target="mailto:info@doustrazos.com" TargetMode="External"/><Relationship Id="rId28" Type="http://schemas.openxmlformats.org/officeDocument/2006/relationships/hyperlink" Target="mailto:jmpereira@carlin.cash" TargetMode="External"/><Relationship Id="rId29" Type="http://schemas.openxmlformats.org/officeDocument/2006/relationships/hyperlink" Target="https://genebrandoweb.nereid.es/" TargetMode="External"/><Relationship Id="rId30" Type="http://schemas.openxmlformats.org/officeDocument/2006/relationships/hyperlink" Target="mailto:redes@trazos.com" TargetMode="External"/><Relationship Id="rId31" Type="http://schemas.openxmlformats.org/officeDocument/2006/relationships/hyperlink" Target="mailto:contabilidade@doustrazos.com" TargetMode="External"/><Relationship Id="rId32" Type="http://schemas.openxmlformats.org/officeDocument/2006/relationships/hyperlink" Target="mailto:contabilidade@doustrazos.com" TargetMode="External"/><Relationship Id="rId33" Type="http://schemas.openxmlformats.org/officeDocument/2006/relationships/hyperlink" Target="mailto:info@doustrazos.com" TargetMode="External"/><Relationship Id="rId34" Type="http://schemas.openxmlformats.org/officeDocument/2006/relationships/hyperlink" Target="mailto:info@doustrazos.com" TargetMode="External"/><Relationship Id="rId3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nfo@empresa1.com" TargetMode="External"/><Relationship Id="rId2" Type="http://schemas.openxmlformats.org/officeDocument/2006/relationships/hyperlink" Target="mailto:info@empresa2.com" TargetMode="External"/><Relationship Id="rId3" Type="http://schemas.openxmlformats.org/officeDocument/2006/relationships/hyperlink" Target="mailto:info@empresa2.com" TargetMode="External"/><Relationship Id="rId4" Type="http://schemas.openxmlformats.org/officeDocument/2006/relationships/hyperlink" Target="mailto:gerencia@empresa2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285.05" hidden="false" customHeight="false" outlineLevel="0" collapsed="false">
      <c r="A2" s="0" t="str">
        <f aca="false">CONCATENATE("__import__.res_partner_",C2)</f>
        <v>__import__.res_partner_20000000002</v>
      </c>
      <c r="B2" s="2" t="s">
        <v>27</v>
      </c>
      <c r="C2" s="3" t="s">
        <v>28</v>
      </c>
      <c r="D2" s="2" t="s">
        <v>29</v>
      </c>
      <c r="E2" s="2"/>
      <c r="F2" s="2" t="s">
        <v>30</v>
      </c>
      <c r="G2" s="2" t="s">
        <v>31</v>
      </c>
      <c r="H2" s="2" t="s">
        <v>32</v>
      </c>
      <c r="I2" s="2"/>
      <c r="J2" s="2"/>
      <c r="K2" s="2" t="s">
        <v>33</v>
      </c>
      <c r="L2" s="3" t="s">
        <v>34</v>
      </c>
      <c r="M2" s="2" t="s">
        <v>35</v>
      </c>
      <c r="N2" s="2"/>
      <c r="O2" s="2" t="s">
        <v>36</v>
      </c>
      <c r="P2" s="2" t="s">
        <v>37</v>
      </c>
      <c r="Q2" s="2" t="s">
        <v>38</v>
      </c>
      <c r="R2" s="2" t="s">
        <v>39</v>
      </c>
      <c r="S2" s="2"/>
      <c r="T2" s="2" t="s">
        <v>40</v>
      </c>
      <c r="U2" s="2"/>
      <c r="V2" s="2"/>
      <c r="W2" s="2"/>
      <c r="X2" s="2" t="n">
        <v>2</v>
      </c>
      <c r="Y2" s="2" t="s">
        <v>29</v>
      </c>
      <c r="Z2" s="3" t="s">
        <v>41</v>
      </c>
      <c r="AA2" s="4" t="s">
        <v>42</v>
      </c>
    </row>
    <row r="3" customFormat="false" ht="16.4" hidden="false" customHeight="false" outlineLevel="0" collapsed="false">
      <c r="A3" s="0" t="str">
        <f aca="false">CONCATENATE("__import__.res_partner_",C3)</f>
        <v>__import__.res_partner_20000000003</v>
      </c>
      <c r="B3" s="2" t="s">
        <v>43</v>
      </c>
      <c r="C3" s="3" t="s">
        <v>44</v>
      </c>
      <c r="D3" s="2" t="s">
        <v>45</v>
      </c>
      <c r="E3" s="2"/>
      <c r="F3" s="2" t="s">
        <v>30</v>
      </c>
      <c r="G3" s="2" t="s">
        <v>31</v>
      </c>
      <c r="H3" s="2" t="s">
        <v>32</v>
      </c>
      <c r="I3" s="2"/>
      <c r="J3" s="2"/>
      <c r="K3" s="2" t="s">
        <v>46</v>
      </c>
      <c r="L3" s="3" t="s">
        <v>47</v>
      </c>
      <c r="M3" s="2" t="s">
        <v>48</v>
      </c>
      <c r="N3" s="2"/>
      <c r="O3" s="2" t="s">
        <v>49</v>
      </c>
      <c r="P3" s="2" t="s">
        <v>37</v>
      </c>
      <c r="Q3" s="2" t="s">
        <v>50</v>
      </c>
      <c r="R3" s="2" t="s">
        <v>51</v>
      </c>
      <c r="S3" s="2"/>
      <c r="T3" s="2" t="s">
        <v>40</v>
      </c>
      <c r="U3" s="2"/>
      <c r="V3" s="2"/>
      <c r="W3" s="2"/>
      <c r="X3" s="2" t="n">
        <v>3</v>
      </c>
      <c r="Y3" s="2" t="s">
        <v>52</v>
      </c>
      <c r="Z3" s="3" t="s">
        <v>53</v>
      </c>
      <c r="AA3" s="4" t="s">
        <v>54</v>
      </c>
    </row>
    <row r="4" customFormat="false" ht="16.4" hidden="false" customHeight="false" outlineLevel="0" collapsed="false">
      <c r="A4" s="0" t="str">
        <f aca="false">CONCATENATE("__import__.res_partner_",C4)</f>
        <v>__import__.res_partner_20000000004</v>
      </c>
      <c r="B4" s="2" t="s">
        <v>55</v>
      </c>
      <c r="C4" s="3" t="s">
        <v>56</v>
      </c>
      <c r="D4" s="2" t="s">
        <v>57</v>
      </c>
      <c r="E4" s="2"/>
      <c r="F4" s="2" t="s">
        <v>30</v>
      </c>
      <c r="G4" s="2" t="s">
        <v>31</v>
      </c>
      <c r="H4" s="2" t="s">
        <v>32</v>
      </c>
      <c r="I4" s="2"/>
      <c r="J4" s="2"/>
      <c r="K4" s="2" t="s">
        <v>58</v>
      </c>
      <c r="L4" s="3" t="s">
        <v>59</v>
      </c>
      <c r="M4" s="2" t="s">
        <v>60</v>
      </c>
      <c r="N4" s="2"/>
      <c r="O4" s="2" t="s">
        <v>61</v>
      </c>
      <c r="P4" s="2" t="s">
        <v>37</v>
      </c>
      <c r="Q4" s="2" t="s">
        <v>62</v>
      </c>
      <c r="R4" s="2" t="s">
        <v>63</v>
      </c>
      <c r="S4" s="2"/>
      <c r="T4" s="2" t="s">
        <v>64</v>
      </c>
      <c r="U4" s="2"/>
      <c r="V4" s="2"/>
      <c r="W4" s="2"/>
      <c r="X4" s="2" t="n">
        <v>4</v>
      </c>
      <c r="Y4" s="2" t="s">
        <v>57</v>
      </c>
      <c r="Z4" s="3" t="s">
        <v>65</v>
      </c>
      <c r="AA4" s="4" t="s">
        <v>66</v>
      </c>
    </row>
    <row r="5" customFormat="false" ht="13.8" hidden="false" customHeight="false" outlineLevel="0" collapsed="false">
      <c r="A5" s="0" t="str">
        <f aca="false">CONCATENATE("__import__.res_partner_",C5)</f>
        <v>__import__.res_partner_20000000006</v>
      </c>
      <c r="B5" s="2" t="s">
        <v>67</v>
      </c>
      <c r="C5" s="3" t="s">
        <v>68</v>
      </c>
      <c r="D5" s="2" t="s">
        <v>69</v>
      </c>
      <c r="E5" s="2"/>
      <c r="F5" s="2" t="s">
        <v>30</v>
      </c>
      <c r="G5" s="2" t="s">
        <v>31</v>
      </c>
      <c r="H5" s="2" t="s">
        <v>32</v>
      </c>
      <c r="I5" s="2"/>
      <c r="J5" s="2"/>
      <c r="K5" s="2" t="s">
        <v>70</v>
      </c>
      <c r="L5" s="3" t="s">
        <v>71</v>
      </c>
      <c r="M5" s="2" t="s">
        <v>72</v>
      </c>
      <c r="N5" s="2"/>
      <c r="O5" s="2" t="s">
        <v>73</v>
      </c>
      <c r="P5" s="2" t="s">
        <v>37</v>
      </c>
      <c r="Q5" s="2" t="s">
        <v>74</v>
      </c>
      <c r="R5" s="2" t="s">
        <v>75</v>
      </c>
      <c r="S5" s="2"/>
      <c r="T5" s="2" t="s">
        <v>76</v>
      </c>
      <c r="U5" s="2"/>
      <c r="V5" s="2"/>
      <c r="W5" s="2"/>
      <c r="X5" s="2" t="n">
        <v>6</v>
      </c>
      <c r="Y5" s="2" t="s">
        <v>77</v>
      </c>
      <c r="Z5" s="3" t="s">
        <v>78</v>
      </c>
      <c r="AA5" s="2"/>
    </row>
    <row r="6" customFormat="false" ht="13.8" hidden="false" customHeight="false" outlineLevel="0" collapsed="false">
      <c r="A6" s="0" t="str">
        <f aca="false">CONCATENATE("__import__.res_partner_",C6)</f>
        <v>__import__.res_partner_20000000007</v>
      </c>
      <c r="B6" s="2" t="s">
        <v>79</v>
      </c>
      <c r="C6" s="3" t="s">
        <v>80</v>
      </c>
      <c r="D6" s="2" t="s">
        <v>81</v>
      </c>
      <c r="E6" s="2"/>
      <c r="F6" s="2" t="s">
        <v>30</v>
      </c>
      <c r="G6" s="2" t="s">
        <v>31</v>
      </c>
      <c r="H6" s="2" t="s">
        <v>32</v>
      </c>
      <c r="I6" s="2"/>
      <c r="J6" s="2"/>
      <c r="K6" s="2" t="s">
        <v>82</v>
      </c>
      <c r="L6" s="3" t="s">
        <v>83</v>
      </c>
      <c r="M6" s="2" t="s">
        <v>84</v>
      </c>
      <c r="N6" s="2"/>
      <c r="O6" s="2" t="s">
        <v>85</v>
      </c>
      <c r="P6" s="2" t="s">
        <v>37</v>
      </c>
      <c r="Q6" s="2"/>
      <c r="R6" s="2" t="s">
        <v>86</v>
      </c>
      <c r="S6" s="2"/>
      <c r="T6" s="2" t="s">
        <v>64</v>
      </c>
      <c r="U6" s="2"/>
      <c r="V6" s="2"/>
      <c r="W6" s="2"/>
      <c r="X6" s="2" t="n">
        <v>7</v>
      </c>
      <c r="Y6" s="2" t="s">
        <v>81</v>
      </c>
      <c r="Z6" s="3" t="s">
        <v>87</v>
      </c>
      <c r="AA6" s="2"/>
    </row>
    <row r="7" customFormat="false" ht="105.95" hidden="false" customHeight="false" outlineLevel="0" collapsed="false">
      <c r="A7" s="0" t="str">
        <f aca="false">CONCATENATE("__import__.res_partner_",C7)</f>
        <v>__import__.res_partner_20000000010</v>
      </c>
      <c r="B7" s="2" t="s">
        <v>88</v>
      </c>
      <c r="C7" s="3" t="s">
        <v>89</v>
      </c>
      <c r="D7" s="2" t="s">
        <v>90</v>
      </c>
      <c r="E7" s="2"/>
      <c r="F7" s="2" t="s">
        <v>30</v>
      </c>
      <c r="G7" s="2" t="s">
        <v>31</v>
      </c>
      <c r="H7" s="2" t="s">
        <v>32</v>
      </c>
      <c r="I7" s="2"/>
      <c r="J7" s="2"/>
      <c r="K7" s="2" t="s">
        <v>91</v>
      </c>
      <c r="L7" s="3" t="s">
        <v>92</v>
      </c>
      <c r="M7" s="2" t="s">
        <v>93</v>
      </c>
      <c r="N7" s="2"/>
      <c r="O7" s="2" t="s">
        <v>94</v>
      </c>
      <c r="P7" s="2" t="s">
        <v>37</v>
      </c>
      <c r="Q7" s="2" t="s">
        <v>95</v>
      </c>
      <c r="R7" s="2" t="s">
        <v>96</v>
      </c>
      <c r="S7" s="2"/>
      <c r="T7" s="2" t="s">
        <v>97</v>
      </c>
      <c r="U7" s="2"/>
      <c r="V7" s="2"/>
      <c r="W7" s="2"/>
      <c r="X7" s="2" t="n">
        <v>10</v>
      </c>
      <c r="Y7" s="2" t="s">
        <v>90</v>
      </c>
      <c r="Z7" s="3" t="s">
        <v>98</v>
      </c>
      <c r="AA7" s="4" t="s">
        <v>99</v>
      </c>
    </row>
    <row r="8" customFormat="false" ht="13.8" hidden="false" customHeight="false" outlineLevel="0" collapsed="false">
      <c r="A8" s="0" t="str">
        <f aca="false">CONCATENATE("__import__.res_partner_",C8)</f>
        <v>__import__.res_partner_20000000012</v>
      </c>
      <c r="B8" s="2" t="s">
        <v>100</v>
      </c>
      <c r="C8" s="3" t="s">
        <v>101</v>
      </c>
      <c r="D8" s="2" t="s">
        <v>102</v>
      </c>
      <c r="E8" s="2"/>
      <c r="F8" s="2" t="s">
        <v>30</v>
      </c>
      <c r="G8" s="2" t="s">
        <v>31</v>
      </c>
      <c r="H8" s="2" t="s">
        <v>32</v>
      </c>
      <c r="I8" s="2"/>
      <c r="J8" s="2"/>
      <c r="K8" s="2" t="s">
        <v>103</v>
      </c>
      <c r="L8" s="3" t="s">
        <v>104</v>
      </c>
      <c r="M8" s="2" t="s">
        <v>105</v>
      </c>
      <c r="N8" s="2"/>
      <c r="O8" s="2" t="s">
        <v>106</v>
      </c>
      <c r="P8" s="2" t="s">
        <v>37</v>
      </c>
      <c r="Q8" s="2"/>
      <c r="R8" s="2" t="s">
        <v>107</v>
      </c>
      <c r="S8" s="2"/>
      <c r="T8" s="2" t="s">
        <v>108</v>
      </c>
      <c r="U8" s="2"/>
      <c r="V8" s="2"/>
      <c r="W8" s="2"/>
      <c r="X8" s="2" t="n">
        <v>12</v>
      </c>
      <c r="Y8" s="2" t="s">
        <v>102</v>
      </c>
      <c r="Z8" s="3" t="s">
        <v>109</v>
      </c>
      <c r="AA8" s="2"/>
    </row>
    <row r="9" customFormat="false" ht="13.8" hidden="false" customHeight="false" outlineLevel="0" collapsed="false">
      <c r="A9" s="0" t="str">
        <f aca="false">CONCATENATE("__import__.res_partner_",C9)</f>
        <v>__import__.res_partner_20000000013</v>
      </c>
      <c r="B9" s="2" t="s">
        <v>110</v>
      </c>
      <c r="C9" s="3" t="s">
        <v>111</v>
      </c>
      <c r="D9" s="2" t="s">
        <v>112</v>
      </c>
      <c r="E9" s="2"/>
      <c r="F9" s="2" t="s">
        <v>30</v>
      </c>
      <c r="G9" s="2" t="s">
        <v>31</v>
      </c>
      <c r="H9" s="2" t="s">
        <v>32</v>
      </c>
      <c r="I9" s="2"/>
      <c r="J9" s="2"/>
      <c r="K9" s="2" t="s">
        <v>113</v>
      </c>
      <c r="L9" s="3" t="s">
        <v>114</v>
      </c>
      <c r="M9" s="2" t="s">
        <v>115</v>
      </c>
      <c r="N9" s="2"/>
      <c r="O9" s="2" t="s">
        <v>116</v>
      </c>
      <c r="P9" s="2" t="s">
        <v>37</v>
      </c>
      <c r="Q9" s="2"/>
      <c r="R9" s="2" t="s">
        <v>117</v>
      </c>
      <c r="S9" s="2"/>
      <c r="T9" s="2" t="s">
        <v>64</v>
      </c>
      <c r="U9" s="2"/>
      <c r="V9" s="2"/>
      <c r="W9" s="2"/>
      <c r="X9" s="2" t="n">
        <v>13</v>
      </c>
      <c r="Y9" s="2" t="s">
        <v>112</v>
      </c>
      <c r="Z9" s="3" t="s">
        <v>118</v>
      </c>
      <c r="AA9" s="2"/>
    </row>
    <row r="10" customFormat="false" ht="113.4" hidden="false" customHeight="false" outlineLevel="0" collapsed="false">
      <c r="A10" s="0" t="str">
        <f aca="false">CONCATENATE("__import__.res_partner_",C10)</f>
        <v>__import__.res_partner_20000000015</v>
      </c>
      <c r="B10" s="2" t="s">
        <v>119</v>
      </c>
      <c r="C10" s="3" t="s">
        <v>120</v>
      </c>
      <c r="D10" s="2" t="s">
        <v>121</v>
      </c>
      <c r="E10" s="2"/>
      <c r="F10" s="2" t="s">
        <v>30</v>
      </c>
      <c r="G10" s="2" t="s">
        <v>31</v>
      </c>
      <c r="H10" s="2" t="s">
        <v>32</v>
      </c>
      <c r="I10" s="2"/>
      <c r="J10" s="2"/>
      <c r="K10" s="2" t="s">
        <v>122</v>
      </c>
      <c r="L10" s="3" t="s">
        <v>123</v>
      </c>
      <c r="M10" s="2" t="s">
        <v>124</v>
      </c>
      <c r="N10" s="2"/>
      <c r="O10" s="2" t="s">
        <v>125</v>
      </c>
      <c r="P10" s="2" t="s">
        <v>37</v>
      </c>
      <c r="Q10" s="2"/>
      <c r="R10" s="2" t="s">
        <v>126</v>
      </c>
      <c r="S10" s="2"/>
      <c r="T10" s="2" t="s">
        <v>64</v>
      </c>
      <c r="U10" s="2"/>
      <c r="V10" s="2"/>
      <c r="W10" s="2"/>
      <c r="X10" s="2" t="n">
        <v>15</v>
      </c>
      <c r="Y10" s="2" t="s">
        <v>121</v>
      </c>
      <c r="Z10" s="3" t="s">
        <v>127</v>
      </c>
      <c r="AA10" s="4" t="s">
        <v>128</v>
      </c>
    </row>
    <row r="11" customFormat="false" ht="13.8" hidden="false" customHeight="false" outlineLevel="0" collapsed="false">
      <c r="A11" s="0" t="str">
        <f aca="false">CONCATENATE("__import__.res_partner_",C11)</f>
        <v>__import__.res_partner_20000000016</v>
      </c>
      <c r="B11" s="2" t="s">
        <v>129</v>
      </c>
      <c r="C11" s="3" t="s">
        <v>130</v>
      </c>
      <c r="D11" s="2" t="s">
        <v>131</v>
      </c>
      <c r="E11" s="2"/>
      <c r="F11" s="2" t="s">
        <v>30</v>
      </c>
      <c r="G11" s="2" t="s">
        <v>31</v>
      </c>
      <c r="H11" s="2" t="s">
        <v>32</v>
      </c>
      <c r="I11" s="2"/>
      <c r="J11" s="2"/>
      <c r="K11" s="2" t="s">
        <v>132</v>
      </c>
      <c r="L11" s="3" t="s">
        <v>133</v>
      </c>
      <c r="M11" s="2" t="s">
        <v>134</v>
      </c>
      <c r="N11" s="2"/>
      <c r="O11" s="2" t="s">
        <v>135</v>
      </c>
      <c r="P11" s="2" t="s">
        <v>37</v>
      </c>
      <c r="Q11" s="2" t="s">
        <v>136</v>
      </c>
      <c r="R11" s="2" t="s">
        <v>137</v>
      </c>
      <c r="S11" s="2"/>
      <c r="T11" s="2" t="s">
        <v>40</v>
      </c>
      <c r="U11" s="2"/>
      <c r="V11" s="2"/>
      <c r="W11" s="2"/>
      <c r="X11" s="2" t="n">
        <v>16</v>
      </c>
      <c r="Y11" s="2" t="s">
        <v>131</v>
      </c>
      <c r="Z11" s="3" t="s">
        <v>138</v>
      </c>
      <c r="AA11" s="2"/>
    </row>
    <row r="12" customFormat="false" ht="13.8" hidden="false" customHeight="false" outlineLevel="0" collapsed="false">
      <c r="A12" s="0" t="str">
        <f aca="false">CONCATENATE("__import__.res_partner_",C12)</f>
        <v>__import__.res_partner_20000000021</v>
      </c>
      <c r="B12" s="2" t="s">
        <v>139</v>
      </c>
      <c r="C12" s="3" t="s">
        <v>140</v>
      </c>
      <c r="D12" s="2" t="s">
        <v>141</v>
      </c>
      <c r="E12" s="2"/>
      <c r="F12" s="2" t="s">
        <v>30</v>
      </c>
      <c r="G12" s="2" t="s">
        <v>31</v>
      </c>
      <c r="H12" s="2" t="s">
        <v>32</v>
      </c>
      <c r="I12" s="2"/>
      <c r="J12" s="2"/>
      <c r="K12" s="2" t="s">
        <v>142</v>
      </c>
      <c r="L12" s="3" t="s">
        <v>34</v>
      </c>
      <c r="M12" s="2" t="s">
        <v>143</v>
      </c>
      <c r="N12" s="2"/>
      <c r="O12" s="2" t="s">
        <v>36</v>
      </c>
      <c r="P12" s="2" t="s">
        <v>37</v>
      </c>
      <c r="Q12" s="2" t="s">
        <v>144</v>
      </c>
      <c r="R12" s="2" t="s">
        <v>145</v>
      </c>
      <c r="S12" s="2"/>
      <c r="T12" s="2" t="s">
        <v>108</v>
      </c>
      <c r="U12" s="2"/>
      <c r="V12" s="2"/>
      <c r="W12" s="2"/>
      <c r="X12" s="2" t="n">
        <v>21</v>
      </c>
      <c r="Y12" s="2" t="s">
        <v>146</v>
      </c>
      <c r="Z12" s="3" t="s">
        <v>147</v>
      </c>
      <c r="AA12" s="2" t="s">
        <v>148</v>
      </c>
    </row>
    <row r="13" customFormat="false" ht="13.8" hidden="false" customHeight="false" outlineLevel="0" collapsed="false">
      <c r="A13" s="0" t="str">
        <f aca="false">CONCATENATE("__import__.res_partner_",C13)</f>
        <v>__import__.res_partner_20000000022</v>
      </c>
      <c r="B13" s="2" t="s">
        <v>149</v>
      </c>
      <c r="C13" s="3" t="s">
        <v>150</v>
      </c>
      <c r="D13" s="2" t="s">
        <v>151</v>
      </c>
      <c r="E13" s="2"/>
      <c r="F13" s="2" t="s">
        <v>30</v>
      </c>
      <c r="G13" s="2" t="s">
        <v>31</v>
      </c>
      <c r="H13" s="2" t="s">
        <v>32</v>
      </c>
      <c r="I13" s="2"/>
      <c r="J13" s="2"/>
      <c r="K13" s="2" t="s">
        <v>152</v>
      </c>
      <c r="L13" s="3" t="s">
        <v>153</v>
      </c>
      <c r="M13" s="2" t="s">
        <v>154</v>
      </c>
      <c r="N13" s="2"/>
      <c r="O13" s="2" t="s">
        <v>155</v>
      </c>
      <c r="P13" s="2" t="s">
        <v>37</v>
      </c>
      <c r="Q13" s="2"/>
      <c r="R13" s="2" t="s">
        <v>156</v>
      </c>
      <c r="S13" s="2"/>
      <c r="T13" s="2" t="s">
        <v>157</v>
      </c>
      <c r="U13" s="2"/>
      <c r="V13" s="2"/>
      <c r="W13" s="2"/>
      <c r="X13" s="2" t="n">
        <v>22</v>
      </c>
      <c r="Y13" s="2" t="s">
        <v>151</v>
      </c>
      <c r="Z13" s="3" t="s">
        <v>158</v>
      </c>
      <c r="AA13" s="2"/>
    </row>
    <row r="14" customFormat="false" ht="13.8" hidden="false" customHeight="false" outlineLevel="0" collapsed="false">
      <c r="A14" s="0" t="str">
        <f aca="false">CONCATENATE("__import__.res_partner_",C14)</f>
        <v>__import__.res_partner_20000000023</v>
      </c>
      <c r="B14" s="2" t="s">
        <v>159</v>
      </c>
      <c r="C14" s="3" t="s">
        <v>160</v>
      </c>
      <c r="D14" s="2" t="s">
        <v>161</v>
      </c>
      <c r="E14" s="2"/>
      <c r="F14" s="2" t="s">
        <v>30</v>
      </c>
      <c r="G14" s="2" t="s">
        <v>31</v>
      </c>
      <c r="H14" s="2" t="s">
        <v>32</v>
      </c>
      <c r="I14" s="2"/>
      <c r="J14" s="2"/>
      <c r="K14" s="2" t="s">
        <v>162</v>
      </c>
      <c r="L14" s="3" t="s">
        <v>163</v>
      </c>
      <c r="M14" s="2" t="s">
        <v>164</v>
      </c>
      <c r="N14" s="2"/>
      <c r="O14" s="2" t="s">
        <v>165</v>
      </c>
      <c r="P14" s="2" t="s">
        <v>37</v>
      </c>
      <c r="Q14" s="2" t="s">
        <v>166</v>
      </c>
      <c r="R14" s="2" t="s">
        <v>167</v>
      </c>
      <c r="S14" s="2"/>
      <c r="T14" s="2" t="s">
        <v>40</v>
      </c>
      <c r="U14" s="2"/>
      <c r="V14" s="2"/>
      <c r="W14" s="2"/>
      <c r="X14" s="2" t="n">
        <v>23</v>
      </c>
      <c r="Y14" s="2" t="s">
        <v>161</v>
      </c>
      <c r="Z14" s="3" t="s">
        <v>168</v>
      </c>
      <c r="AA14" s="2"/>
    </row>
    <row r="15" customFormat="false" ht="13.8" hidden="false" customHeight="false" outlineLevel="0" collapsed="false">
      <c r="A15" s="0" t="str">
        <f aca="false">CONCATENATE("__import__.res_partner_",C15)</f>
        <v>__import__.res_partner_20000000025</v>
      </c>
      <c r="B15" s="2" t="s">
        <v>169</v>
      </c>
      <c r="C15" s="3" t="s">
        <v>170</v>
      </c>
      <c r="D15" s="2" t="s">
        <v>171</v>
      </c>
      <c r="E15" s="2"/>
      <c r="F15" s="2" t="s">
        <v>30</v>
      </c>
      <c r="G15" s="2" t="s">
        <v>31</v>
      </c>
      <c r="H15" s="2" t="s">
        <v>32</v>
      </c>
      <c r="I15" s="2"/>
      <c r="J15" s="2"/>
      <c r="K15" s="2" t="s">
        <v>172</v>
      </c>
      <c r="L15" s="3" t="s">
        <v>173</v>
      </c>
      <c r="M15" s="2" t="s">
        <v>174</v>
      </c>
      <c r="N15" s="2"/>
      <c r="O15" s="2" t="s">
        <v>49</v>
      </c>
      <c r="P15" s="2" t="s">
        <v>37</v>
      </c>
      <c r="Q15" s="2"/>
      <c r="R15" s="2" t="s">
        <v>175</v>
      </c>
      <c r="S15" s="2"/>
      <c r="T15" s="2" t="s">
        <v>40</v>
      </c>
      <c r="U15" s="2"/>
      <c r="V15" s="2"/>
      <c r="W15" s="2"/>
      <c r="X15" s="2" t="n">
        <v>25</v>
      </c>
      <c r="Y15" s="2" t="s">
        <v>171</v>
      </c>
      <c r="Z15" s="3" t="s">
        <v>176</v>
      </c>
      <c r="AA15" s="2"/>
    </row>
    <row r="16" customFormat="false" ht="13.8" hidden="false" customHeight="false" outlineLevel="0" collapsed="false">
      <c r="A16" s="0" t="str">
        <f aca="false">CONCATENATE("__import__.res_partner_",C16)</f>
        <v>__import__.res_partner_20000000027</v>
      </c>
      <c r="B16" s="2" t="s">
        <v>177</v>
      </c>
      <c r="C16" s="3" t="s">
        <v>178</v>
      </c>
      <c r="D16" s="2" t="s">
        <v>179</v>
      </c>
      <c r="E16" s="2"/>
      <c r="F16" s="2" t="s">
        <v>30</v>
      </c>
      <c r="G16" s="2" t="s">
        <v>31</v>
      </c>
      <c r="H16" s="2" t="s">
        <v>32</v>
      </c>
      <c r="I16" s="2"/>
      <c r="J16" s="2"/>
      <c r="K16" s="2" t="s">
        <v>180</v>
      </c>
      <c r="L16" s="3" t="s">
        <v>47</v>
      </c>
      <c r="M16" s="2" t="s">
        <v>181</v>
      </c>
      <c r="N16" s="2"/>
      <c r="O16" s="2" t="s">
        <v>49</v>
      </c>
      <c r="P16" s="2" t="s">
        <v>37</v>
      </c>
      <c r="Q16" s="2"/>
      <c r="R16" s="2" t="s">
        <v>182</v>
      </c>
      <c r="S16" s="2"/>
      <c r="T16" s="2" t="s">
        <v>64</v>
      </c>
      <c r="U16" s="2"/>
      <c r="V16" s="2"/>
      <c r="W16" s="2"/>
      <c r="X16" s="2" t="n">
        <v>27</v>
      </c>
      <c r="Y16" s="2" t="s">
        <v>179</v>
      </c>
      <c r="Z16" s="3" t="s">
        <v>183</v>
      </c>
      <c r="AA16" s="2"/>
    </row>
    <row r="17" customFormat="false" ht="13.8" hidden="false" customHeight="false" outlineLevel="0" collapsed="false">
      <c r="A17" s="0" t="str">
        <f aca="false">CONCATENATE("__import__.res_partner_",C17)</f>
        <v>__import__.res_partner_20000000029</v>
      </c>
      <c r="B17" s="2" t="s">
        <v>184</v>
      </c>
      <c r="C17" s="3" t="s">
        <v>185</v>
      </c>
      <c r="D17" s="2" t="s">
        <v>186</v>
      </c>
      <c r="E17" s="2"/>
      <c r="F17" s="2" t="s">
        <v>30</v>
      </c>
      <c r="G17" s="2" t="s">
        <v>31</v>
      </c>
      <c r="H17" s="2" t="s">
        <v>32</v>
      </c>
      <c r="I17" s="2"/>
      <c r="J17" s="2"/>
      <c r="K17" s="2" t="s">
        <v>187</v>
      </c>
      <c r="L17" s="3" t="s">
        <v>188</v>
      </c>
      <c r="M17" s="2" t="s">
        <v>189</v>
      </c>
      <c r="N17" s="2"/>
      <c r="O17" s="2" t="s">
        <v>190</v>
      </c>
      <c r="P17" s="2" t="s">
        <v>37</v>
      </c>
      <c r="Q17" s="2" t="s">
        <v>191</v>
      </c>
      <c r="R17" s="3" t="s">
        <v>192</v>
      </c>
      <c r="S17" s="2"/>
      <c r="T17" s="2" t="s">
        <v>157</v>
      </c>
      <c r="U17" s="2"/>
      <c r="V17" s="2"/>
      <c r="W17" s="2"/>
      <c r="X17" s="2" t="n">
        <v>29</v>
      </c>
      <c r="Y17" s="2" t="s">
        <v>186</v>
      </c>
      <c r="Z17" s="3" t="s">
        <v>193</v>
      </c>
      <c r="AA17" s="2"/>
    </row>
    <row r="18" customFormat="false" ht="13.8" hidden="false" customHeight="false" outlineLevel="0" collapsed="false">
      <c r="A18" s="0" t="str">
        <f aca="false">CONCATENATE("__import__.res_partner_",C18)</f>
        <v>__import__.res_partner_20000000030</v>
      </c>
      <c r="B18" s="2" t="s">
        <v>194</v>
      </c>
      <c r="C18" s="3" t="s">
        <v>195</v>
      </c>
      <c r="D18" s="2" t="s">
        <v>196</v>
      </c>
      <c r="E18" s="2"/>
      <c r="F18" s="2" t="s">
        <v>30</v>
      </c>
      <c r="G18" s="2" t="s">
        <v>31</v>
      </c>
      <c r="H18" s="2" t="s">
        <v>32</v>
      </c>
      <c r="I18" s="2"/>
      <c r="J18" s="2"/>
      <c r="K18" s="2" t="s">
        <v>197</v>
      </c>
      <c r="L18" s="3" t="s">
        <v>198</v>
      </c>
      <c r="M18" s="2" t="s">
        <v>199</v>
      </c>
      <c r="N18" s="2"/>
      <c r="O18" s="2" t="s">
        <v>49</v>
      </c>
      <c r="P18" s="2" t="s">
        <v>37</v>
      </c>
      <c r="Q18" s="2" t="s">
        <v>200</v>
      </c>
      <c r="R18" s="2" t="s">
        <v>201</v>
      </c>
      <c r="S18" s="2"/>
      <c r="T18" s="2" t="s">
        <v>202</v>
      </c>
      <c r="U18" s="2"/>
      <c r="V18" s="2"/>
      <c r="W18" s="2"/>
      <c r="X18" s="2" t="n">
        <v>30</v>
      </c>
      <c r="Y18" s="2" t="s">
        <v>203</v>
      </c>
      <c r="Z18" s="3" t="s">
        <v>204</v>
      </c>
      <c r="AA18" s="2"/>
    </row>
  </sheetData>
  <hyperlinks>
    <hyperlink ref="AA3" r:id="rId1" display="ENVIAN ALBARAN VALORADO POR CORREO ELECTRONICO  A: maria@doustrazos.com&#10;ENVIAR TODOS LOS PEDIDOS POR FAX."/>
    <hyperlink ref="AA4" r:id="rId2" display="PEDIDOS@CARLOSWENDEL.COM&#10;&#10;WEB RECURSOS:&#10;https://faber-castell.media&#10;Partner&#10;usuario: informatica@doustrazos.com&#10;Contraseña: #Dous2011%&#10;&#10;https://partner.faber-castell.media/login &#10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125" defaultRowHeight="13.8" zeroHeight="false" outlineLevelRow="0" outlineLevelCol="0"/>
  <cols>
    <col collapsed="false" customWidth="true" hidden="false" outlineLevel="0" max="1" min="1" style="0" width="33.44"/>
    <col collapsed="false" customWidth="true" hidden="false" outlineLevel="0" max="2" min="2" style="2" width="33.44"/>
    <col collapsed="false" customWidth="true" hidden="false" outlineLevel="0" max="3" min="3" style="2" width="19.67"/>
    <col collapsed="false" customWidth="true" hidden="false" outlineLevel="0" max="4" min="4" style="2" width="28.11"/>
    <col collapsed="false" customWidth="true" hidden="false" outlineLevel="0" max="5" min="5" style="2" width="23.45"/>
    <col collapsed="false" customWidth="true" hidden="false" outlineLevel="0" max="6" min="6" style="2" width="13.22"/>
    <col collapsed="false" customWidth="false" hidden="false" outlineLevel="0" max="7" min="7" style="2" width="10.78"/>
    <col collapsed="false" customWidth="true" hidden="false" outlineLevel="0" max="8" min="8" style="2" width="23.89"/>
    <col collapsed="false" customWidth="true" hidden="false" outlineLevel="0" max="10" min="9" style="2" width="8.78"/>
    <col collapsed="false" customWidth="true" hidden="false" outlineLevel="0" max="11" min="11" style="2" width="19.89"/>
    <col collapsed="false" customWidth="false" hidden="false" outlineLevel="0" max="12" min="12" style="2" width="10.78"/>
    <col collapsed="false" customWidth="true" hidden="false" outlineLevel="0" max="13" min="13" style="2" width="20.55"/>
    <col collapsed="false" customWidth="true" hidden="false" outlineLevel="0" max="14" min="14" style="2" width="29.22"/>
    <col collapsed="false" customWidth="true" hidden="false" outlineLevel="0" max="15" min="15" style="2" width="12.33"/>
    <col collapsed="false" customWidth="true" hidden="false" outlineLevel="0" max="16" min="16" style="2" width="12.11"/>
    <col collapsed="false" customWidth="false" hidden="false" outlineLevel="0" max="19" min="17" style="2" width="10.78"/>
    <col collapsed="false" customWidth="true" hidden="false" outlineLevel="0" max="20" min="20" style="2" width="30.11"/>
    <col collapsed="false" customWidth="true" hidden="false" outlineLevel="0" max="21" min="21" style="2" width="18.89"/>
    <col collapsed="false" customWidth="true" hidden="false" outlineLevel="0" max="22" min="22" style="2" width="23.22"/>
    <col collapsed="false" customWidth="true" hidden="false" outlineLevel="0" max="23" min="23" style="2" width="26.11"/>
    <col collapsed="false" customWidth="true" hidden="false" outlineLevel="0" max="26" min="24" style="2" width="23.45"/>
    <col collapsed="false" customWidth="true" hidden="false" outlineLevel="0" max="27" min="27" style="2" width="1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05.95" hidden="false" customHeight="false" outlineLevel="0" collapsed="false">
      <c r="A2" s="0" t="str">
        <f aca="false">CONCATENATE("__import__.res_partner_",C2)</f>
        <v>__import__.res_partner_20000000002</v>
      </c>
      <c r="B2" s="2" t="s">
        <v>27</v>
      </c>
      <c r="C2" s="3" t="s">
        <v>28</v>
      </c>
      <c r="D2" s="2" t="s">
        <v>29</v>
      </c>
      <c r="F2" s="2" t="s">
        <v>30</v>
      </c>
      <c r="G2" s="2" t="s">
        <v>31</v>
      </c>
      <c r="H2" s="2" t="s">
        <v>32</v>
      </c>
      <c r="K2" s="2" t="s">
        <v>33</v>
      </c>
      <c r="L2" s="3" t="s">
        <v>34</v>
      </c>
      <c r="M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T2" s="2" t="s">
        <v>40</v>
      </c>
      <c r="X2" s="2" t="n">
        <v>2</v>
      </c>
      <c r="Y2" s="2" t="s">
        <v>29</v>
      </c>
      <c r="Z2" s="3" t="s">
        <v>41</v>
      </c>
      <c r="AA2" s="4" t="s">
        <v>42</v>
      </c>
    </row>
    <row r="3" customFormat="false" ht="16.4" hidden="false" customHeight="false" outlineLevel="0" collapsed="false">
      <c r="A3" s="0" t="str">
        <f aca="false">CONCATENATE("__import__.res_partner_",C3)</f>
        <v>__import__.res_partner_20000000003</v>
      </c>
      <c r="B3" s="2" t="s">
        <v>43</v>
      </c>
      <c r="C3" s="3" t="s">
        <v>44</v>
      </c>
      <c r="D3" s="2" t="s">
        <v>45</v>
      </c>
      <c r="F3" s="2" t="s">
        <v>30</v>
      </c>
      <c r="G3" s="2" t="s">
        <v>31</v>
      </c>
      <c r="H3" s="2" t="s">
        <v>32</v>
      </c>
      <c r="K3" s="2" t="s">
        <v>46</v>
      </c>
      <c r="L3" s="3" t="s">
        <v>47</v>
      </c>
      <c r="M3" s="2" t="s">
        <v>48</v>
      </c>
      <c r="O3" s="2" t="s">
        <v>49</v>
      </c>
      <c r="P3" s="2" t="s">
        <v>37</v>
      </c>
      <c r="Q3" s="2" t="s">
        <v>50</v>
      </c>
      <c r="R3" s="2" t="s">
        <v>51</v>
      </c>
      <c r="T3" s="2" t="s">
        <v>40</v>
      </c>
      <c r="X3" s="2" t="n">
        <v>3</v>
      </c>
      <c r="Y3" s="2" t="s">
        <v>52</v>
      </c>
      <c r="Z3" s="3" t="s">
        <v>53</v>
      </c>
      <c r="AA3" s="4" t="s">
        <v>54</v>
      </c>
    </row>
    <row r="4" customFormat="false" ht="16.4" hidden="false" customHeight="false" outlineLevel="0" collapsed="false">
      <c r="A4" s="0" t="str">
        <f aca="false">CONCATENATE("__import__.res_partner_",C4)</f>
        <v>__import__.res_partner_20000000004</v>
      </c>
      <c r="B4" s="2" t="s">
        <v>55</v>
      </c>
      <c r="C4" s="3" t="s">
        <v>56</v>
      </c>
      <c r="D4" s="2" t="s">
        <v>57</v>
      </c>
      <c r="F4" s="2" t="s">
        <v>30</v>
      </c>
      <c r="G4" s="2" t="s">
        <v>31</v>
      </c>
      <c r="H4" s="2" t="s">
        <v>32</v>
      </c>
      <c r="K4" s="2" t="s">
        <v>58</v>
      </c>
      <c r="L4" s="3" t="s">
        <v>59</v>
      </c>
      <c r="M4" s="2" t="s">
        <v>60</v>
      </c>
      <c r="O4" s="2" t="s">
        <v>61</v>
      </c>
      <c r="P4" s="2" t="s">
        <v>37</v>
      </c>
      <c r="Q4" s="2" t="s">
        <v>62</v>
      </c>
      <c r="R4" s="2" t="s">
        <v>63</v>
      </c>
      <c r="T4" s="2" t="s">
        <v>64</v>
      </c>
      <c r="X4" s="2" t="n">
        <v>4</v>
      </c>
      <c r="Y4" s="2" t="s">
        <v>57</v>
      </c>
      <c r="Z4" s="3" t="s">
        <v>65</v>
      </c>
      <c r="AA4" s="4" t="s">
        <v>66</v>
      </c>
    </row>
    <row r="5" customFormat="false" ht="13.8" hidden="false" customHeight="false" outlineLevel="0" collapsed="false">
      <c r="A5" s="0" t="str">
        <f aca="false">CONCATENATE("__import__.res_partner_",C5)</f>
        <v>__import__.res_partner_20000000006</v>
      </c>
      <c r="B5" s="2" t="s">
        <v>67</v>
      </c>
      <c r="C5" s="3" t="s">
        <v>68</v>
      </c>
      <c r="D5" s="2" t="s">
        <v>69</v>
      </c>
      <c r="F5" s="2" t="s">
        <v>30</v>
      </c>
      <c r="G5" s="2" t="s">
        <v>31</v>
      </c>
      <c r="H5" s="2" t="s">
        <v>32</v>
      </c>
      <c r="K5" s="2" t="s">
        <v>70</v>
      </c>
      <c r="L5" s="3" t="s">
        <v>71</v>
      </c>
      <c r="M5" s="2" t="s">
        <v>72</v>
      </c>
      <c r="O5" s="2" t="s">
        <v>73</v>
      </c>
      <c r="P5" s="2" t="s">
        <v>37</v>
      </c>
      <c r="Q5" s="2" t="s">
        <v>74</v>
      </c>
      <c r="R5" s="2" t="s">
        <v>75</v>
      </c>
      <c r="T5" s="2" t="s">
        <v>76</v>
      </c>
      <c r="X5" s="2" t="n">
        <v>6</v>
      </c>
      <c r="Y5" s="2" t="s">
        <v>77</v>
      </c>
      <c r="Z5" s="3" t="s">
        <v>78</v>
      </c>
    </row>
    <row r="6" customFormat="false" ht="13.8" hidden="false" customHeight="false" outlineLevel="0" collapsed="false">
      <c r="A6" s="0" t="str">
        <f aca="false">CONCATENATE("__import__.res_partner_",C6)</f>
        <v>__import__.res_partner_20000000007</v>
      </c>
      <c r="B6" s="2" t="s">
        <v>79</v>
      </c>
      <c r="C6" s="3" t="s">
        <v>80</v>
      </c>
      <c r="D6" s="2" t="s">
        <v>81</v>
      </c>
      <c r="F6" s="2" t="s">
        <v>30</v>
      </c>
      <c r="G6" s="2" t="s">
        <v>31</v>
      </c>
      <c r="H6" s="2" t="s">
        <v>32</v>
      </c>
      <c r="K6" s="2" t="s">
        <v>82</v>
      </c>
      <c r="L6" s="3" t="s">
        <v>83</v>
      </c>
      <c r="M6" s="2" t="s">
        <v>84</v>
      </c>
      <c r="O6" s="2" t="s">
        <v>85</v>
      </c>
      <c r="P6" s="2" t="s">
        <v>37</v>
      </c>
      <c r="R6" s="2" t="s">
        <v>86</v>
      </c>
      <c r="T6" s="2" t="s">
        <v>64</v>
      </c>
      <c r="X6" s="2" t="n">
        <v>7</v>
      </c>
      <c r="Y6" s="2" t="s">
        <v>81</v>
      </c>
      <c r="Z6" s="3" t="s">
        <v>87</v>
      </c>
    </row>
    <row r="7" customFormat="false" ht="61.15" hidden="false" customHeight="false" outlineLevel="0" collapsed="false">
      <c r="A7" s="0" t="str">
        <f aca="false">CONCATENATE("__import__.res_partner_",C7)</f>
        <v>__import__.res_partner_20000000010</v>
      </c>
      <c r="B7" s="2" t="s">
        <v>88</v>
      </c>
      <c r="C7" s="3" t="s">
        <v>89</v>
      </c>
      <c r="D7" s="2" t="s">
        <v>90</v>
      </c>
      <c r="F7" s="2" t="s">
        <v>30</v>
      </c>
      <c r="G7" s="2" t="s">
        <v>31</v>
      </c>
      <c r="H7" s="2" t="s">
        <v>32</v>
      </c>
      <c r="K7" s="2" t="s">
        <v>91</v>
      </c>
      <c r="L7" s="3" t="s">
        <v>92</v>
      </c>
      <c r="M7" s="2" t="s">
        <v>93</v>
      </c>
      <c r="O7" s="2" t="s">
        <v>94</v>
      </c>
      <c r="P7" s="2" t="s">
        <v>37</v>
      </c>
      <c r="Q7" s="2" t="s">
        <v>95</v>
      </c>
      <c r="R7" s="2" t="s">
        <v>96</v>
      </c>
      <c r="T7" s="2" t="s">
        <v>97</v>
      </c>
      <c r="X7" s="2" t="n">
        <v>10</v>
      </c>
      <c r="Y7" s="2" t="s">
        <v>90</v>
      </c>
      <c r="Z7" s="3" t="s">
        <v>98</v>
      </c>
      <c r="AA7" s="4" t="s">
        <v>99</v>
      </c>
    </row>
    <row r="8" customFormat="false" ht="13.8" hidden="false" customHeight="false" outlineLevel="0" collapsed="false">
      <c r="A8" s="0" t="str">
        <f aca="false">CONCATENATE("__import__.res_partner_",C8)</f>
        <v>__import__.res_partner_20000000012</v>
      </c>
      <c r="B8" s="2" t="s">
        <v>100</v>
      </c>
      <c r="C8" s="3" t="s">
        <v>101</v>
      </c>
      <c r="D8" s="2" t="s">
        <v>102</v>
      </c>
      <c r="F8" s="2" t="s">
        <v>30</v>
      </c>
      <c r="G8" s="2" t="s">
        <v>31</v>
      </c>
      <c r="H8" s="2" t="s">
        <v>32</v>
      </c>
      <c r="K8" s="2" t="s">
        <v>103</v>
      </c>
      <c r="L8" s="3" t="s">
        <v>104</v>
      </c>
      <c r="M8" s="2" t="s">
        <v>105</v>
      </c>
      <c r="O8" s="2" t="s">
        <v>106</v>
      </c>
      <c r="P8" s="2" t="s">
        <v>37</v>
      </c>
      <c r="R8" s="2" t="s">
        <v>107</v>
      </c>
      <c r="T8" s="2" t="s">
        <v>108</v>
      </c>
      <c r="X8" s="2" t="n">
        <v>12</v>
      </c>
      <c r="Y8" s="2" t="s">
        <v>102</v>
      </c>
      <c r="Z8" s="3" t="s">
        <v>109</v>
      </c>
    </row>
    <row r="9" customFormat="false" ht="13.8" hidden="false" customHeight="false" outlineLevel="0" collapsed="false">
      <c r="A9" s="0" t="str">
        <f aca="false">CONCATENATE("__import__.res_partner_",C9)</f>
        <v>__import__.res_partner_20000000013</v>
      </c>
      <c r="B9" s="2" t="s">
        <v>110</v>
      </c>
      <c r="C9" s="3" t="s">
        <v>111</v>
      </c>
      <c r="D9" s="2" t="s">
        <v>112</v>
      </c>
      <c r="F9" s="2" t="s">
        <v>30</v>
      </c>
      <c r="G9" s="2" t="s">
        <v>31</v>
      </c>
      <c r="H9" s="2" t="s">
        <v>32</v>
      </c>
      <c r="K9" s="2" t="s">
        <v>113</v>
      </c>
      <c r="L9" s="3" t="s">
        <v>114</v>
      </c>
      <c r="M9" s="2" t="s">
        <v>115</v>
      </c>
      <c r="O9" s="2" t="s">
        <v>116</v>
      </c>
      <c r="P9" s="2" t="s">
        <v>37</v>
      </c>
      <c r="R9" s="2" t="s">
        <v>117</v>
      </c>
      <c r="T9" s="2" t="s">
        <v>64</v>
      </c>
      <c r="X9" s="2" t="n">
        <v>13</v>
      </c>
      <c r="Y9" s="2" t="s">
        <v>112</v>
      </c>
      <c r="Z9" s="3" t="s">
        <v>118</v>
      </c>
    </row>
    <row r="10" customFormat="false" ht="27.75" hidden="false" customHeight="false" outlineLevel="0" collapsed="false">
      <c r="A10" s="0" t="str">
        <f aca="false">CONCATENATE("__import__.res_partner_",C10)</f>
        <v>__import__.res_partner_20000000015</v>
      </c>
      <c r="B10" s="2" t="s">
        <v>119</v>
      </c>
      <c r="C10" s="3" t="s">
        <v>120</v>
      </c>
      <c r="D10" s="2" t="s">
        <v>121</v>
      </c>
      <c r="F10" s="2" t="s">
        <v>30</v>
      </c>
      <c r="G10" s="2" t="s">
        <v>31</v>
      </c>
      <c r="H10" s="2" t="s">
        <v>32</v>
      </c>
      <c r="K10" s="2" t="s">
        <v>122</v>
      </c>
      <c r="L10" s="3" t="s">
        <v>123</v>
      </c>
      <c r="M10" s="2" t="s">
        <v>124</v>
      </c>
      <c r="O10" s="2" t="s">
        <v>125</v>
      </c>
      <c r="P10" s="2" t="s">
        <v>37</v>
      </c>
      <c r="R10" s="2" t="s">
        <v>126</v>
      </c>
      <c r="T10" s="2" t="s">
        <v>64</v>
      </c>
      <c r="X10" s="2" t="n">
        <v>15</v>
      </c>
      <c r="Y10" s="2" t="s">
        <v>121</v>
      </c>
      <c r="Z10" s="3" t="s">
        <v>127</v>
      </c>
      <c r="AA10" s="4" t="s">
        <v>128</v>
      </c>
    </row>
    <row r="11" customFormat="false" ht="13.8" hidden="false" customHeight="false" outlineLevel="0" collapsed="false">
      <c r="A11" s="0" t="str">
        <f aca="false">CONCATENATE("__import__.res_partner_",C11)</f>
        <v>__import__.res_partner_20000000016</v>
      </c>
      <c r="B11" s="2" t="s">
        <v>129</v>
      </c>
      <c r="C11" s="3" t="s">
        <v>130</v>
      </c>
      <c r="D11" s="2" t="s">
        <v>131</v>
      </c>
      <c r="F11" s="2" t="s">
        <v>30</v>
      </c>
      <c r="G11" s="2" t="s">
        <v>31</v>
      </c>
      <c r="H11" s="2" t="s">
        <v>32</v>
      </c>
      <c r="K11" s="2" t="s">
        <v>132</v>
      </c>
      <c r="L11" s="3" t="s">
        <v>133</v>
      </c>
      <c r="M11" s="2" t="s">
        <v>134</v>
      </c>
      <c r="O11" s="2" t="s">
        <v>135</v>
      </c>
      <c r="P11" s="2" t="s">
        <v>37</v>
      </c>
      <c r="Q11" s="2" t="s">
        <v>136</v>
      </c>
      <c r="R11" s="2" t="s">
        <v>137</v>
      </c>
      <c r="T11" s="2" t="s">
        <v>40</v>
      </c>
      <c r="X11" s="2" t="n">
        <v>16</v>
      </c>
      <c r="Y11" s="2" t="s">
        <v>131</v>
      </c>
      <c r="Z11" s="3" t="s">
        <v>138</v>
      </c>
    </row>
    <row r="12" customFormat="false" ht="13.8" hidden="false" customHeight="false" outlineLevel="0" collapsed="false">
      <c r="A12" s="0" t="str">
        <f aca="false">CONCATENATE("__import__.res_partner_",C12)</f>
        <v>__import__.res_partner_20000000021</v>
      </c>
      <c r="B12" s="2" t="s">
        <v>139</v>
      </c>
      <c r="C12" s="3" t="s">
        <v>140</v>
      </c>
      <c r="D12" s="2" t="s">
        <v>141</v>
      </c>
      <c r="F12" s="2" t="s">
        <v>30</v>
      </c>
      <c r="G12" s="2" t="s">
        <v>31</v>
      </c>
      <c r="H12" s="2" t="s">
        <v>32</v>
      </c>
      <c r="K12" s="2" t="s">
        <v>142</v>
      </c>
      <c r="L12" s="3" t="s">
        <v>34</v>
      </c>
      <c r="M12" s="2" t="s">
        <v>143</v>
      </c>
      <c r="O12" s="2" t="s">
        <v>36</v>
      </c>
      <c r="P12" s="2" t="s">
        <v>37</v>
      </c>
      <c r="Q12" s="2" t="s">
        <v>144</v>
      </c>
      <c r="R12" s="2" t="s">
        <v>145</v>
      </c>
      <c r="T12" s="2" t="s">
        <v>108</v>
      </c>
      <c r="X12" s="2" t="n">
        <v>21</v>
      </c>
      <c r="Y12" s="2" t="s">
        <v>146</v>
      </c>
      <c r="Z12" s="3" t="s">
        <v>147</v>
      </c>
      <c r="AA12" s="2" t="s">
        <v>148</v>
      </c>
    </row>
    <row r="13" customFormat="false" ht="13.8" hidden="false" customHeight="false" outlineLevel="0" collapsed="false">
      <c r="A13" s="0" t="str">
        <f aca="false">CONCATENATE("__import__.res_partner_",C13)</f>
        <v>__import__.res_partner_20000000022</v>
      </c>
      <c r="B13" s="2" t="s">
        <v>149</v>
      </c>
      <c r="C13" s="3" t="s">
        <v>150</v>
      </c>
      <c r="D13" s="2" t="s">
        <v>151</v>
      </c>
      <c r="F13" s="2" t="s">
        <v>30</v>
      </c>
      <c r="G13" s="2" t="s">
        <v>31</v>
      </c>
      <c r="H13" s="2" t="s">
        <v>32</v>
      </c>
      <c r="K13" s="2" t="s">
        <v>152</v>
      </c>
      <c r="L13" s="3" t="s">
        <v>153</v>
      </c>
      <c r="M13" s="2" t="s">
        <v>154</v>
      </c>
      <c r="O13" s="2" t="s">
        <v>155</v>
      </c>
      <c r="P13" s="2" t="s">
        <v>37</v>
      </c>
      <c r="R13" s="2" t="s">
        <v>156</v>
      </c>
      <c r="T13" s="2" t="s">
        <v>157</v>
      </c>
      <c r="X13" s="2" t="n">
        <v>22</v>
      </c>
      <c r="Y13" s="2" t="s">
        <v>151</v>
      </c>
      <c r="Z13" s="3" t="s">
        <v>158</v>
      </c>
    </row>
    <row r="14" customFormat="false" ht="13.8" hidden="false" customHeight="false" outlineLevel="0" collapsed="false">
      <c r="A14" s="0" t="str">
        <f aca="false">CONCATENATE("__import__.res_partner_",C14)</f>
        <v>__import__.res_partner_20000000023</v>
      </c>
      <c r="B14" s="2" t="s">
        <v>159</v>
      </c>
      <c r="C14" s="3" t="s">
        <v>160</v>
      </c>
      <c r="D14" s="2" t="s">
        <v>161</v>
      </c>
      <c r="F14" s="2" t="s">
        <v>30</v>
      </c>
      <c r="G14" s="2" t="s">
        <v>31</v>
      </c>
      <c r="H14" s="2" t="s">
        <v>32</v>
      </c>
      <c r="K14" s="2" t="s">
        <v>162</v>
      </c>
      <c r="L14" s="3" t="s">
        <v>163</v>
      </c>
      <c r="M14" s="2" t="s">
        <v>164</v>
      </c>
      <c r="O14" s="2" t="s">
        <v>165</v>
      </c>
      <c r="P14" s="2" t="s">
        <v>37</v>
      </c>
      <c r="Q14" s="2" t="s">
        <v>166</v>
      </c>
      <c r="R14" s="2" t="s">
        <v>167</v>
      </c>
      <c r="T14" s="2" t="s">
        <v>40</v>
      </c>
      <c r="X14" s="2" t="n">
        <v>23</v>
      </c>
      <c r="Y14" s="2" t="s">
        <v>161</v>
      </c>
      <c r="Z14" s="3" t="s">
        <v>168</v>
      </c>
    </row>
    <row r="15" customFormat="false" ht="13.8" hidden="false" customHeight="false" outlineLevel="0" collapsed="false">
      <c r="A15" s="0" t="str">
        <f aca="false">CONCATENATE("__import__.res_partner_",C15)</f>
        <v>__import__.res_partner_20000000025</v>
      </c>
      <c r="B15" s="2" t="s">
        <v>169</v>
      </c>
      <c r="C15" s="3" t="s">
        <v>170</v>
      </c>
      <c r="D15" s="2" t="s">
        <v>171</v>
      </c>
      <c r="F15" s="2" t="s">
        <v>30</v>
      </c>
      <c r="G15" s="2" t="s">
        <v>31</v>
      </c>
      <c r="H15" s="2" t="s">
        <v>32</v>
      </c>
      <c r="K15" s="2" t="s">
        <v>172</v>
      </c>
      <c r="L15" s="3" t="s">
        <v>173</v>
      </c>
      <c r="M15" s="2" t="s">
        <v>174</v>
      </c>
      <c r="O15" s="2" t="s">
        <v>49</v>
      </c>
      <c r="P15" s="2" t="s">
        <v>37</v>
      </c>
      <c r="R15" s="2" t="s">
        <v>175</v>
      </c>
      <c r="T15" s="2" t="s">
        <v>40</v>
      </c>
      <c r="X15" s="2" t="n">
        <v>25</v>
      </c>
      <c r="Y15" s="2" t="s">
        <v>171</v>
      </c>
      <c r="Z15" s="3" t="s">
        <v>176</v>
      </c>
    </row>
    <row r="16" customFormat="false" ht="13.8" hidden="false" customHeight="false" outlineLevel="0" collapsed="false">
      <c r="A16" s="0" t="str">
        <f aca="false">CONCATENATE("__import__.res_partner_",C16)</f>
        <v>__import__.res_partner_20000000027</v>
      </c>
      <c r="B16" s="2" t="s">
        <v>177</v>
      </c>
      <c r="C16" s="3" t="s">
        <v>178</v>
      </c>
      <c r="D16" s="2" t="s">
        <v>179</v>
      </c>
      <c r="F16" s="2" t="s">
        <v>30</v>
      </c>
      <c r="G16" s="2" t="s">
        <v>31</v>
      </c>
      <c r="H16" s="2" t="s">
        <v>32</v>
      </c>
      <c r="K16" s="2" t="s">
        <v>180</v>
      </c>
      <c r="L16" s="3" t="s">
        <v>47</v>
      </c>
      <c r="M16" s="2" t="s">
        <v>181</v>
      </c>
      <c r="O16" s="2" t="s">
        <v>49</v>
      </c>
      <c r="P16" s="2" t="s">
        <v>37</v>
      </c>
      <c r="R16" s="2" t="s">
        <v>182</v>
      </c>
      <c r="T16" s="2" t="s">
        <v>64</v>
      </c>
      <c r="X16" s="2" t="n">
        <v>27</v>
      </c>
      <c r="Y16" s="2" t="s">
        <v>179</v>
      </c>
      <c r="Z16" s="3" t="s">
        <v>183</v>
      </c>
    </row>
    <row r="17" customFormat="false" ht="13.8" hidden="false" customHeight="false" outlineLevel="0" collapsed="false">
      <c r="A17" s="0" t="str">
        <f aca="false">CONCATENATE("__import__.res_partner_",C17)</f>
        <v>__import__.res_partner_20000000029</v>
      </c>
      <c r="B17" s="2" t="s">
        <v>184</v>
      </c>
      <c r="C17" s="3" t="s">
        <v>185</v>
      </c>
      <c r="D17" s="2" t="s">
        <v>186</v>
      </c>
      <c r="F17" s="2" t="s">
        <v>30</v>
      </c>
      <c r="G17" s="2" t="s">
        <v>31</v>
      </c>
      <c r="H17" s="2" t="s">
        <v>32</v>
      </c>
      <c r="K17" s="2" t="s">
        <v>187</v>
      </c>
      <c r="L17" s="3" t="s">
        <v>188</v>
      </c>
      <c r="M17" s="2" t="s">
        <v>189</v>
      </c>
      <c r="O17" s="2" t="s">
        <v>190</v>
      </c>
      <c r="P17" s="2" t="s">
        <v>37</v>
      </c>
      <c r="Q17" s="2" t="s">
        <v>191</v>
      </c>
      <c r="R17" s="3" t="s">
        <v>192</v>
      </c>
      <c r="T17" s="2" t="s">
        <v>157</v>
      </c>
      <c r="X17" s="2" t="n">
        <v>29</v>
      </c>
      <c r="Y17" s="2" t="s">
        <v>186</v>
      </c>
      <c r="Z17" s="3" t="s">
        <v>193</v>
      </c>
    </row>
    <row r="18" customFormat="false" ht="13.8" hidden="false" customHeight="false" outlineLevel="0" collapsed="false">
      <c r="A18" s="0" t="str">
        <f aca="false">CONCATENATE("__import__.res_partner_",C18)</f>
        <v>__import__.res_partner_20000000030</v>
      </c>
      <c r="B18" s="2" t="s">
        <v>194</v>
      </c>
      <c r="C18" s="3" t="s">
        <v>195</v>
      </c>
      <c r="D18" s="2" t="s">
        <v>196</v>
      </c>
      <c r="F18" s="2" t="s">
        <v>30</v>
      </c>
      <c r="G18" s="2" t="s">
        <v>31</v>
      </c>
      <c r="H18" s="2" t="s">
        <v>32</v>
      </c>
      <c r="K18" s="2" t="s">
        <v>197</v>
      </c>
      <c r="L18" s="3" t="s">
        <v>198</v>
      </c>
      <c r="M18" s="2" t="s">
        <v>199</v>
      </c>
      <c r="O18" s="2" t="s">
        <v>49</v>
      </c>
      <c r="P18" s="2" t="s">
        <v>37</v>
      </c>
      <c r="Q18" s="2" t="s">
        <v>200</v>
      </c>
      <c r="R18" s="2" t="s">
        <v>201</v>
      </c>
      <c r="T18" s="2" t="s">
        <v>202</v>
      </c>
      <c r="X18" s="2" t="n">
        <v>30</v>
      </c>
      <c r="Y18" s="2" t="s">
        <v>203</v>
      </c>
      <c r="Z18" s="3" t="s">
        <v>204</v>
      </c>
    </row>
    <row r="19" customFormat="false" ht="13.8" hidden="false" customHeight="false" outlineLevel="0" collapsed="false">
      <c r="A19" s="0" t="str">
        <f aca="false">CONCATENATE("__import__.res_partner_",C19)</f>
        <v>__import__.res_partner_20000000031</v>
      </c>
      <c r="B19" s="2" t="s">
        <v>205</v>
      </c>
      <c r="C19" s="3" t="s">
        <v>206</v>
      </c>
      <c r="D19" s="2" t="s">
        <v>207</v>
      </c>
      <c r="F19" s="2" t="s">
        <v>30</v>
      </c>
      <c r="G19" s="2" t="s">
        <v>31</v>
      </c>
      <c r="H19" s="2" t="s">
        <v>32</v>
      </c>
      <c r="K19" s="2" t="s">
        <v>208</v>
      </c>
      <c r="L19" s="3" t="s">
        <v>209</v>
      </c>
      <c r="M19" s="2" t="s">
        <v>210</v>
      </c>
      <c r="O19" s="2" t="s">
        <v>211</v>
      </c>
      <c r="P19" s="2" t="s">
        <v>37</v>
      </c>
      <c r="Q19" s="2" t="s">
        <v>212</v>
      </c>
      <c r="R19" s="2" t="s">
        <v>213</v>
      </c>
      <c r="T19" s="2" t="s">
        <v>157</v>
      </c>
      <c r="X19" s="2" t="n">
        <v>31</v>
      </c>
      <c r="Y19" s="2" t="s">
        <v>207</v>
      </c>
      <c r="Z19" s="3" t="s">
        <v>214</v>
      </c>
    </row>
    <row r="20" customFormat="false" ht="13.8" hidden="false" customHeight="false" outlineLevel="0" collapsed="false">
      <c r="A20" s="0" t="str">
        <f aca="false">CONCATENATE("__import__.res_partner_",C20)</f>
        <v>__import__.res_partner_20000000032</v>
      </c>
      <c r="B20" s="2" t="s">
        <v>215</v>
      </c>
      <c r="C20" s="3" t="s">
        <v>216</v>
      </c>
      <c r="D20" s="2" t="s">
        <v>217</v>
      </c>
      <c r="F20" s="2" t="s">
        <v>30</v>
      </c>
      <c r="G20" s="2" t="s">
        <v>31</v>
      </c>
      <c r="H20" s="2" t="s">
        <v>32</v>
      </c>
      <c r="K20" s="2" t="s">
        <v>218</v>
      </c>
      <c r="L20" s="3" t="s">
        <v>219</v>
      </c>
      <c r="M20" s="2" t="s">
        <v>220</v>
      </c>
      <c r="O20" s="2" t="s">
        <v>221</v>
      </c>
      <c r="P20" s="2" t="s">
        <v>37</v>
      </c>
      <c r="Q20" s="2" t="s">
        <v>222</v>
      </c>
      <c r="R20" s="2" t="s">
        <v>223</v>
      </c>
      <c r="T20" s="2" t="s">
        <v>202</v>
      </c>
      <c r="X20" s="2" t="n">
        <v>32</v>
      </c>
      <c r="Y20" s="2" t="s">
        <v>217</v>
      </c>
      <c r="Z20" s="3" t="s">
        <v>224</v>
      </c>
    </row>
    <row r="21" customFormat="false" ht="13.8" hidden="false" customHeight="false" outlineLevel="0" collapsed="false">
      <c r="A21" s="0" t="str">
        <f aca="false">CONCATENATE("__import__.res_partner_",C21)</f>
        <v>__import__.res_partner_20000000033</v>
      </c>
      <c r="B21" s="2" t="s">
        <v>225</v>
      </c>
      <c r="C21" s="3" t="s">
        <v>226</v>
      </c>
      <c r="D21" s="2" t="s">
        <v>227</v>
      </c>
      <c r="F21" s="2" t="s">
        <v>30</v>
      </c>
      <c r="G21" s="2" t="s">
        <v>31</v>
      </c>
      <c r="H21" s="2" t="s">
        <v>32</v>
      </c>
      <c r="K21" s="2" t="s">
        <v>228</v>
      </c>
      <c r="L21" s="3" t="s">
        <v>229</v>
      </c>
      <c r="M21" s="2" t="s">
        <v>230</v>
      </c>
      <c r="O21" s="2" t="s">
        <v>231</v>
      </c>
      <c r="P21" s="2" t="s">
        <v>37</v>
      </c>
      <c r="Q21" s="2" t="s">
        <v>232</v>
      </c>
      <c r="R21" s="2" t="s">
        <v>233</v>
      </c>
      <c r="T21" s="2" t="s">
        <v>64</v>
      </c>
      <c r="X21" s="2" t="n">
        <v>33</v>
      </c>
      <c r="Y21" s="2" t="s">
        <v>227</v>
      </c>
      <c r="Z21" s="3" t="s">
        <v>234</v>
      </c>
    </row>
    <row r="22" customFormat="false" ht="13.8" hidden="false" customHeight="false" outlineLevel="0" collapsed="false">
      <c r="A22" s="0" t="str">
        <f aca="false">CONCATENATE("__import__.res_partner_",C22)</f>
        <v>__import__.res_partner_20000000036</v>
      </c>
      <c r="B22" s="2" t="s">
        <v>235</v>
      </c>
      <c r="C22" s="3" t="s">
        <v>236</v>
      </c>
      <c r="D22" s="2" t="s">
        <v>237</v>
      </c>
      <c r="F22" s="2" t="s">
        <v>30</v>
      </c>
      <c r="G22" s="2" t="s">
        <v>31</v>
      </c>
      <c r="H22" s="2" t="s">
        <v>32</v>
      </c>
      <c r="K22" s="2" t="s">
        <v>238</v>
      </c>
      <c r="L22" s="3" t="s">
        <v>239</v>
      </c>
      <c r="M22" s="2" t="s">
        <v>240</v>
      </c>
      <c r="O22" s="2" t="s">
        <v>241</v>
      </c>
      <c r="P22" s="2" t="s">
        <v>37</v>
      </c>
      <c r="R22" s="2" t="s">
        <v>242</v>
      </c>
      <c r="T22" s="2" t="s">
        <v>202</v>
      </c>
      <c r="X22" s="2" t="n">
        <v>36</v>
      </c>
      <c r="Y22" s="2" t="s">
        <v>237</v>
      </c>
      <c r="Z22" s="3" t="s">
        <v>243</v>
      </c>
    </row>
    <row r="23" customFormat="false" ht="61.15" hidden="false" customHeight="false" outlineLevel="0" collapsed="false">
      <c r="A23" s="0" t="str">
        <f aca="false">CONCATENATE("__import__.res_partner_",C23)</f>
        <v>__import__.res_partner_20000000039</v>
      </c>
      <c r="B23" s="2" t="s">
        <v>244</v>
      </c>
      <c r="C23" s="3" t="s">
        <v>245</v>
      </c>
      <c r="D23" s="2" t="s">
        <v>246</v>
      </c>
      <c r="F23" s="2" t="s">
        <v>30</v>
      </c>
      <c r="G23" s="2" t="s">
        <v>31</v>
      </c>
      <c r="H23" s="2" t="s">
        <v>32</v>
      </c>
      <c r="K23" s="2" t="s">
        <v>247</v>
      </c>
      <c r="L23" s="3" t="s">
        <v>248</v>
      </c>
      <c r="M23" s="2" t="s">
        <v>249</v>
      </c>
      <c r="O23" s="2" t="s">
        <v>250</v>
      </c>
      <c r="P23" s="2" t="s">
        <v>37</v>
      </c>
      <c r="Q23" s="2" t="s">
        <v>251</v>
      </c>
      <c r="R23" s="3" t="s">
        <v>252</v>
      </c>
      <c r="T23" s="2" t="s">
        <v>97</v>
      </c>
      <c r="X23" s="2" t="n">
        <v>39</v>
      </c>
      <c r="Y23" s="2" t="s">
        <v>246</v>
      </c>
      <c r="Z23" s="3" t="s">
        <v>253</v>
      </c>
      <c r="AA23" s="4" t="s">
        <v>254</v>
      </c>
    </row>
    <row r="24" customFormat="false" ht="14.25" hidden="false" customHeight="false" outlineLevel="0" collapsed="false">
      <c r="A24" s="0" t="str">
        <f aca="false">CONCATENATE("__import__.res_partner_",C24)</f>
        <v>__import__.res_partner_20000000044</v>
      </c>
      <c r="B24" s="2" t="s">
        <v>255</v>
      </c>
      <c r="C24" s="3" t="s">
        <v>256</v>
      </c>
      <c r="D24" s="2" t="s">
        <v>257</v>
      </c>
      <c r="F24" s="2" t="s">
        <v>30</v>
      </c>
      <c r="G24" s="2" t="s">
        <v>31</v>
      </c>
      <c r="H24" s="2" t="s">
        <v>32</v>
      </c>
      <c r="K24" s="2" t="s">
        <v>258</v>
      </c>
      <c r="L24" s="3" t="s">
        <v>259</v>
      </c>
      <c r="M24" s="2" t="s">
        <v>260</v>
      </c>
      <c r="O24" s="2" t="s">
        <v>261</v>
      </c>
      <c r="P24" s="2" t="s">
        <v>37</v>
      </c>
      <c r="Q24" s="2" t="s">
        <v>262</v>
      </c>
      <c r="R24" s="2" t="s">
        <v>263</v>
      </c>
      <c r="T24" s="2" t="s">
        <v>40</v>
      </c>
      <c r="X24" s="2" t="n">
        <v>44</v>
      </c>
      <c r="Y24" s="2" t="s">
        <v>257</v>
      </c>
      <c r="Z24" s="3" t="s">
        <v>264</v>
      </c>
    </row>
    <row r="25" customFormat="false" ht="27.75" hidden="false" customHeight="false" outlineLevel="0" collapsed="false">
      <c r="A25" s="0" t="str">
        <f aca="false">CONCATENATE("__import__.res_partner_",C25)</f>
        <v>__import__.res_partner_20000000045</v>
      </c>
      <c r="B25" s="2" t="s">
        <v>265</v>
      </c>
      <c r="C25" s="3" t="s">
        <v>266</v>
      </c>
      <c r="D25" s="2" t="s">
        <v>267</v>
      </c>
      <c r="F25" s="2" t="s">
        <v>30</v>
      </c>
      <c r="G25" s="2" t="s">
        <v>31</v>
      </c>
      <c r="H25" s="2" t="s">
        <v>32</v>
      </c>
      <c r="K25" s="2" t="s">
        <v>268</v>
      </c>
      <c r="L25" s="3" t="s">
        <v>269</v>
      </c>
      <c r="M25" s="2" t="s">
        <v>270</v>
      </c>
      <c r="O25" s="2" t="s">
        <v>49</v>
      </c>
      <c r="P25" s="2" t="s">
        <v>37</v>
      </c>
      <c r="Q25" s="2" t="s">
        <v>271</v>
      </c>
      <c r="R25" s="3" t="s">
        <v>272</v>
      </c>
      <c r="T25" s="2" t="s">
        <v>273</v>
      </c>
      <c r="X25" s="2" t="n">
        <v>45</v>
      </c>
      <c r="Y25" s="2" t="s">
        <v>267</v>
      </c>
      <c r="Z25" s="3" t="s">
        <v>274</v>
      </c>
      <c r="AA25" s="4" t="s">
        <v>275</v>
      </c>
    </row>
    <row r="26" customFormat="false" ht="13.8" hidden="false" customHeight="false" outlineLevel="0" collapsed="false">
      <c r="A26" s="0" t="str">
        <f aca="false">CONCATENATE("__import__.res_partner_",C26)</f>
        <v>__import__.res_partner_20000000046</v>
      </c>
      <c r="B26" s="2" t="s">
        <v>276</v>
      </c>
      <c r="C26" s="3" t="s">
        <v>277</v>
      </c>
      <c r="D26" s="2" t="s">
        <v>278</v>
      </c>
      <c r="F26" s="2" t="s">
        <v>30</v>
      </c>
      <c r="G26" s="2" t="s">
        <v>31</v>
      </c>
      <c r="H26" s="2" t="s">
        <v>32</v>
      </c>
      <c r="K26" s="2" t="s">
        <v>279</v>
      </c>
      <c r="L26" s="3" t="s">
        <v>280</v>
      </c>
      <c r="M26" s="2" t="s">
        <v>281</v>
      </c>
      <c r="O26" s="2" t="s">
        <v>282</v>
      </c>
      <c r="P26" s="2" t="s">
        <v>37</v>
      </c>
      <c r="R26" s="2" t="s">
        <v>283</v>
      </c>
      <c r="T26" s="2" t="s">
        <v>40</v>
      </c>
      <c r="X26" s="2" t="n">
        <v>46</v>
      </c>
      <c r="Y26" s="2" t="s">
        <v>278</v>
      </c>
      <c r="Z26" s="3" t="s">
        <v>284</v>
      </c>
    </row>
    <row r="27" customFormat="false" ht="13.8" hidden="false" customHeight="false" outlineLevel="0" collapsed="false">
      <c r="A27" s="0" t="str">
        <f aca="false">CONCATENATE("__import__.res_partner_",C27)</f>
        <v>__import__.res_partner_20000000049</v>
      </c>
      <c r="B27" s="2" t="s">
        <v>285</v>
      </c>
      <c r="C27" s="3" t="s">
        <v>286</v>
      </c>
      <c r="D27" s="2" t="s">
        <v>287</v>
      </c>
      <c r="F27" s="2" t="s">
        <v>30</v>
      </c>
      <c r="G27" s="2" t="s">
        <v>31</v>
      </c>
      <c r="H27" s="2" t="s">
        <v>32</v>
      </c>
      <c r="K27" s="2" t="s">
        <v>288</v>
      </c>
      <c r="L27" s="3" t="s">
        <v>289</v>
      </c>
      <c r="M27" s="2" t="s">
        <v>290</v>
      </c>
      <c r="O27" s="2" t="s">
        <v>49</v>
      </c>
      <c r="P27" s="2" t="s">
        <v>37</v>
      </c>
      <c r="R27" s="2" t="s">
        <v>291</v>
      </c>
      <c r="T27" s="2" t="s">
        <v>202</v>
      </c>
      <c r="X27" s="2" t="n">
        <v>49</v>
      </c>
      <c r="Y27" s="2" t="s">
        <v>287</v>
      </c>
      <c r="Z27" s="3" t="s">
        <v>292</v>
      </c>
    </row>
    <row r="28" customFormat="false" ht="13.8" hidden="false" customHeight="false" outlineLevel="0" collapsed="false">
      <c r="A28" s="0" t="str">
        <f aca="false">CONCATENATE("__import__.res_partner_",C28)</f>
        <v>__import__.res_partner_20000000051</v>
      </c>
      <c r="B28" s="2" t="s">
        <v>293</v>
      </c>
      <c r="C28" s="3" t="s">
        <v>294</v>
      </c>
      <c r="D28" s="2" t="s">
        <v>295</v>
      </c>
      <c r="F28" s="2" t="s">
        <v>30</v>
      </c>
      <c r="G28" s="2" t="s">
        <v>31</v>
      </c>
      <c r="H28" s="2" t="s">
        <v>32</v>
      </c>
      <c r="K28" s="2" t="s">
        <v>296</v>
      </c>
      <c r="L28" s="3" t="s">
        <v>59</v>
      </c>
      <c r="M28" s="2" t="s">
        <v>297</v>
      </c>
      <c r="O28" s="2" t="s">
        <v>61</v>
      </c>
      <c r="P28" s="2" t="s">
        <v>37</v>
      </c>
      <c r="Q28" s="2" t="s">
        <v>298</v>
      </c>
      <c r="R28" s="2" t="s">
        <v>299</v>
      </c>
      <c r="T28" s="2" t="s">
        <v>64</v>
      </c>
      <c r="X28" s="2" t="n">
        <v>51</v>
      </c>
      <c r="Y28" s="2" t="s">
        <v>295</v>
      </c>
      <c r="Z28" s="3" t="s">
        <v>300</v>
      </c>
    </row>
    <row r="29" customFormat="false" ht="61.15" hidden="false" customHeight="false" outlineLevel="0" collapsed="false">
      <c r="A29" s="0" t="str">
        <f aca="false">CONCATENATE("__import__.res_partner_",C29)</f>
        <v>__import__.res_partner_20000000055</v>
      </c>
      <c r="B29" s="2" t="s">
        <v>301</v>
      </c>
      <c r="C29" s="3" t="s">
        <v>302</v>
      </c>
      <c r="D29" s="2" t="s">
        <v>303</v>
      </c>
      <c r="F29" s="2" t="s">
        <v>30</v>
      </c>
      <c r="G29" s="2" t="s">
        <v>31</v>
      </c>
      <c r="H29" s="2" t="s">
        <v>32</v>
      </c>
      <c r="K29" s="2" t="s">
        <v>304</v>
      </c>
      <c r="L29" s="3" t="s">
        <v>305</v>
      </c>
      <c r="M29" s="2" t="s">
        <v>306</v>
      </c>
      <c r="O29" s="2" t="s">
        <v>307</v>
      </c>
      <c r="P29" s="2" t="s">
        <v>37</v>
      </c>
      <c r="Q29" s="2" t="s">
        <v>308</v>
      </c>
      <c r="R29" s="2" t="s">
        <v>309</v>
      </c>
      <c r="T29" s="2" t="s">
        <v>40</v>
      </c>
      <c r="X29" s="2" t="n">
        <v>55</v>
      </c>
      <c r="Y29" s="2" t="s">
        <v>303</v>
      </c>
      <c r="Z29" s="3" t="s">
        <v>310</v>
      </c>
      <c r="AA29" s="4" t="s">
        <v>311</v>
      </c>
    </row>
    <row r="30" customFormat="false" ht="14.25" hidden="false" customHeight="false" outlineLevel="0" collapsed="false">
      <c r="A30" s="0" t="str">
        <f aca="false">CONCATENATE("__import__.res_partner_",C30)</f>
        <v>__import__.res_partner_20000000056</v>
      </c>
      <c r="B30" s="2" t="s">
        <v>312</v>
      </c>
      <c r="C30" s="3" t="s">
        <v>313</v>
      </c>
      <c r="D30" s="2" t="s">
        <v>314</v>
      </c>
      <c r="F30" s="2" t="s">
        <v>30</v>
      </c>
      <c r="G30" s="2" t="s">
        <v>31</v>
      </c>
      <c r="H30" s="2" t="s">
        <v>32</v>
      </c>
      <c r="K30" s="2" t="s">
        <v>315</v>
      </c>
      <c r="L30" s="3" t="s">
        <v>316</v>
      </c>
      <c r="M30" s="2" t="s">
        <v>317</v>
      </c>
      <c r="O30" s="2" t="s">
        <v>36</v>
      </c>
      <c r="P30" s="2" t="s">
        <v>37</v>
      </c>
      <c r="R30" s="3" t="s">
        <v>318</v>
      </c>
      <c r="T30" s="2" t="s">
        <v>202</v>
      </c>
      <c r="X30" s="2" t="n">
        <v>56</v>
      </c>
      <c r="Y30" s="2" t="s">
        <v>314</v>
      </c>
      <c r="Z30" s="3" t="s">
        <v>319</v>
      </c>
    </row>
    <row r="31" customFormat="false" ht="135.8" hidden="false" customHeight="false" outlineLevel="0" collapsed="false">
      <c r="A31" s="0" t="str">
        <f aca="false">CONCATENATE("__import__.res_partner_",C31)</f>
        <v>__import__.res_partner_20000000057</v>
      </c>
      <c r="B31" s="2" t="s">
        <v>320</v>
      </c>
      <c r="C31" s="3" t="s">
        <v>321</v>
      </c>
      <c r="D31" s="2" t="s">
        <v>322</v>
      </c>
      <c r="F31" s="2" t="s">
        <v>30</v>
      </c>
      <c r="G31" s="2" t="s">
        <v>31</v>
      </c>
      <c r="H31" s="2" t="s">
        <v>32</v>
      </c>
      <c r="K31" s="2" t="s">
        <v>323</v>
      </c>
      <c r="L31" s="3" t="s">
        <v>280</v>
      </c>
      <c r="M31" s="2" t="s">
        <v>324</v>
      </c>
      <c r="O31" s="2" t="s">
        <v>325</v>
      </c>
      <c r="P31" s="2" t="s">
        <v>37</v>
      </c>
      <c r="Q31" s="2" t="s">
        <v>326</v>
      </c>
      <c r="R31" s="2" t="s">
        <v>327</v>
      </c>
      <c r="T31" s="2" t="s">
        <v>40</v>
      </c>
      <c r="X31" s="2" t="n">
        <v>57</v>
      </c>
      <c r="Y31" s="2" t="s">
        <v>322</v>
      </c>
      <c r="Z31" s="3" t="s">
        <v>328</v>
      </c>
      <c r="AA31" s="4" t="s">
        <v>329</v>
      </c>
    </row>
    <row r="32" customFormat="false" ht="13.8" hidden="false" customHeight="false" outlineLevel="0" collapsed="false">
      <c r="A32" s="0" t="str">
        <f aca="false">CONCATENATE("__import__.res_partner_",C32)</f>
        <v>__import__.res_partner_20000000058</v>
      </c>
      <c r="B32" s="2" t="s">
        <v>330</v>
      </c>
      <c r="C32" s="3" t="s">
        <v>331</v>
      </c>
      <c r="D32" s="2" t="s">
        <v>332</v>
      </c>
      <c r="F32" s="2" t="s">
        <v>30</v>
      </c>
      <c r="G32" s="2" t="s">
        <v>31</v>
      </c>
      <c r="H32" s="2" t="s">
        <v>32</v>
      </c>
      <c r="K32" s="2" t="s">
        <v>333</v>
      </c>
      <c r="L32" s="3" t="s">
        <v>334</v>
      </c>
      <c r="M32" s="2" t="s">
        <v>335</v>
      </c>
      <c r="N32" s="2" t="s">
        <v>336</v>
      </c>
      <c r="O32" s="2" t="s">
        <v>337</v>
      </c>
      <c r="P32" s="2" t="s">
        <v>37</v>
      </c>
      <c r="Q32" s="2" t="s">
        <v>338</v>
      </c>
      <c r="R32" s="2" t="s">
        <v>339</v>
      </c>
      <c r="T32" s="2" t="s">
        <v>64</v>
      </c>
      <c r="X32" s="2" t="n">
        <v>58</v>
      </c>
      <c r="Y32" s="2" t="s">
        <v>332</v>
      </c>
      <c r="Z32" s="3" t="s">
        <v>340</v>
      </c>
    </row>
    <row r="33" customFormat="false" ht="13.8" hidden="false" customHeight="false" outlineLevel="0" collapsed="false">
      <c r="A33" s="0" t="str">
        <f aca="false">CONCATENATE("__import__.res_partner_",C33)</f>
        <v>__import__.res_partner_20000000059</v>
      </c>
      <c r="B33" s="2" t="s">
        <v>341</v>
      </c>
      <c r="C33" s="3" t="s">
        <v>342</v>
      </c>
      <c r="D33" s="2" t="s">
        <v>343</v>
      </c>
      <c r="F33" s="2" t="s">
        <v>30</v>
      </c>
      <c r="G33" s="2" t="s">
        <v>31</v>
      </c>
      <c r="H33" s="2" t="s">
        <v>32</v>
      </c>
      <c r="K33" s="2" t="s">
        <v>344</v>
      </c>
      <c r="L33" s="3" t="s">
        <v>345</v>
      </c>
      <c r="M33" s="2" t="s">
        <v>346</v>
      </c>
      <c r="O33" s="2" t="s">
        <v>347</v>
      </c>
      <c r="P33" s="2" t="s">
        <v>37</v>
      </c>
      <c r="Q33" s="2" t="s">
        <v>348</v>
      </c>
      <c r="R33" s="2" t="s">
        <v>349</v>
      </c>
      <c r="T33" s="2" t="s">
        <v>64</v>
      </c>
      <c r="X33" s="2" t="n">
        <v>59</v>
      </c>
      <c r="Y33" s="2" t="s">
        <v>343</v>
      </c>
      <c r="Z33" s="3" t="s">
        <v>350</v>
      </c>
    </row>
    <row r="34" customFormat="false" ht="13.8" hidden="false" customHeight="false" outlineLevel="0" collapsed="false">
      <c r="A34" s="0" t="str">
        <f aca="false">CONCATENATE("__import__.res_partner_",C34)</f>
        <v>__import__.res_partner_20000000061</v>
      </c>
      <c r="B34" s="2" t="s">
        <v>351</v>
      </c>
      <c r="C34" s="3" t="s">
        <v>352</v>
      </c>
      <c r="D34" s="2" t="s">
        <v>353</v>
      </c>
      <c r="F34" s="2" t="s">
        <v>30</v>
      </c>
      <c r="G34" s="2" t="s">
        <v>31</v>
      </c>
      <c r="H34" s="2" t="s">
        <v>32</v>
      </c>
      <c r="K34" s="2" t="s">
        <v>354</v>
      </c>
      <c r="L34" s="3" t="s">
        <v>355</v>
      </c>
      <c r="M34" s="2" t="s">
        <v>356</v>
      </c>
      <c r="O34" s="2" t="s">
        <v>357</v>
      </c>
      <c r="P34" s="2" t="s">
        <v>37</v>
      </c>
      <c r="R34" s="2" t="s">
        <v>358</v>
      </c>
      <c r="T34" s="2" t="s">
        <v>76</v>
      </c>
      <c r="X34" s="2" t="n">
        <v>61</v>
      </c>
      <c r="Y34" s="2" t="s">
        <v>353</v>
      </c>
      <c r="Z34" s="3" t="s">
        <v>359</v>
      </c>
    </row>
    <row r="35" customFormat="false" ht="13.8" hidden="false" customHeight="false" outlineLevel="0" collapsed="false">
      <c r="A35" s="0" t="str">
        <f aca="false">CONCATENATE("__import__.res_partner_",C35)</f>
        <v>__import__.res_partner_20000000063</v>
      </c>
      <c r="B35" s="2" t="s">
        <v>360</v>
      </c>
      <c r="C35" s="3" t="s">
        <v>361</v>
      </c>
      <c r="D35" s="2" t="s">
        <v>362</v>
      </c>
      <c r="F35" s="2" t="s">
        <v>30</v>
      </c>
      <c r="G35" s="2" t="s">
        <v>31</v>
      </c>
      <c r="H35" s="2" t="s">
        <v>32</v>
      </c>
      <c r="K35" s="2" t="s">
        <v>363</v>
      </c>
      <c r="L35" s="3" t="s">
        <v>364</v>
      </c>
      <c r="M35" s="2" t="s">
        <v>365</v>
      </c>
      <c r="O35" s="2" t="s">
        <v>366</v>
      </c>
      <c r="P35" s="2" t="s">
        <v>37</v>
      </c>
      <c r="R35" s="2" t="s">
        <v>367</v>
      </c>
      <c r="T35" s="2" t="s">
        <v>64</v>
      </c>
      <c r="X35" s="2" t="n">
        <v>63</v>
      </c>
      <c r="Y35" s="2" t="s">
        <v>362</v>
      </c>
      <c r="Z35" s="3" t="s">
        <v>368</v>
      </c>
    </row>
    <row r="36" customFormat="false" ht="13.8" hidden="false" customHeight="false" outlineLevel="0" collapsed="false">
      <c r="A36" s="0" t="str">
        <f aca="false">CONCATENATE("__import__.res_partner_",C36)</f>
        <v>__import__.res_partner_20000000065</v>
      </c>
      <c r="B36" s="2" t="s">
        <v>369</v>
      </c>
      <c r="C36" s="3" t="s">
        <v>370</v>
      </c>
      <c r="D36" s="2" t="s">
        <v>371</v>
      </c>
      <c r="F36" s="2" t="s">
        <v>30</v>
      </c>
      <c r="G36" s="2" t="s">
        <v>31</v>
      </c>
      <c r="H36" s="2" t="s">
        <v>32</v>
      </c>
      <c r="K36" s="2" t="s">
        <v>372</v>
      </c>
      <c r="L36" s="3" t="s">
        <v>373</v>
      </c>
      <c r="M36" s="2" t="s">
        <v>374</v>
      </c>
      <c r="O36" s="2" t="s">
        <v>375</v>
      </c>
      <c r="P36" s="2" t="s">
        <v>37</v>
      </c>
      <c r="Q36" s="2" t="s">
        <v>376</v>
      </c>
      <c r="R36" s="2" t="s">
        <v>377</v>
      </c>
      <c r="T36" s="2" t="s">
        <v>40</v>
      </c>
      <c r="X36" s="2" t="n">
        <v>65</v>
      </c>
      <c r="Y36" s="2" t="s">
        <v>371</v>
      </c>
      <c r="Z36" s="3" t="s">
        <v>378</v>
      </c>
      <c r="AA36" s="2" t="s">
        <v>379</v>
      </c>
    </row>
    <row r="37" customFormat="false" ht="13.8" hidden="false" customHeight="false" outlineLevel="0" collapsed="false">
      <c r="A37" s="0" t="str">
        <f aca="false">CONCATENATE("__import__.res_partner_",C37)</f>
        <v>__import__.res_partner_20000000066</v>
      </c>
      <c r="B37" s="2" t="s">
        <v>380</v>
      </c>
      <c r="C37" s="3" t="s">
        <v>381</v>
      </c>
      <c r="D37" s="2" t="s">
        <v>382</v>
      </c>
      <c r="F37" s="2" t="s">
        <v>30</v>
      </c>
      <c r="G37" s="2" t="s">
        <v>31</v>
      </c>
      <c r="H37" s="2" t="s">
        <v>32</v>
      </c>
      <c r="K37" s="2" t="s">
        <v>383</v>
      </c>
      <c r="L37" s="3" t="s">
        <v>289</v>
      </c>
      <c r="M37" s="2" t="s">
        <v>384</v>
      </c>
      <c r="O37" s="2" t="s">
        <v>49</v>
      </c>
      <c r="P37" s="2" t="s">
        <v>37</v>
      </c>
      <c r="Q37" s="2" t="s">
        <v>385</v>
      </c>
      <c r="R37" s="2" t="s">
        <v>386</v>
      </c>
      <c r="T37" s="2" t="s">
        <v>64</v>
      </c>
      <c r="X37" s="2" t="n">
        <v>66</v>
      </c>
      <c r="Y37" s="2" t="s">
        <v>382</v>
      </c>
      <c r="Z37" s="3" t="s">
        <v>387</v>
      </c>
      <c r="AA37" s="2" t="s">
        <v>388</v>
      </c>
    </row>
    <row r="38" customFormat="false" ht="46.25" hidden="false" customHeight="false" outlineLevel="0" collapsed="false">
      <c r="A38" s="0" t="str">
        <f aca="false">CONCATENATE("__import__.res_partner_",C38)</f>
        <v>__import__.res_partner_20000000067</v>
      </c>
      <c r="B38" s="2" t="s">
        <v>389</v>
      </c>
      <c r="C38" s="3" t="s">
        <v>390</v>
      </c>
      <c r="D38" s="2" t="s">
        <v>391</v>
      </c>
      <c r="F38" s="2" t="s">
        <v>30</v>
      </c>
      <c r="G38" s="2" t="s">
        <v>31</v>
      </c>
      <c r="H38" s="2" t="s">
        <v>32</v>
      </c>
      <c r="K38" s="2" t="s">
        <v>392</v>
      </c>
      <c r="L38" s="3" t="s">
        <v>393</v>
      </c>
      <c r="M38" s="2" t="s">
        <v>394</v>
      </c>
      <c r="O38" s="2" t="s">
        <v>395</v>
      </c>
      <c r="P38" s="2" t="s">
        <v>37</v>
      </c>
      <c r="Q38" s="2" t="s">
        <v>326</v>
      </c>
      <c r="R38" s="2" t="s">
        <v>396</v>
      </c>
      <c r="T38" s="2" t="s">
        <v>64</v>
      </c>
      <c r="X38" s="2" t="n">
        <v>67</v>
      </c>
      <c r="Y38" s="2" t="s">
        <v>391</v>
      </c>
      <c r="Z38" s="3" t="s">
        <v>397</v>
      </c>
      <c r="AA38" s="4" t="s">
        <v>398</v>
      </c>
    </row>
    <row r="39" customFormat="false" ht="91" hidden="false" customHeight="false" outlineLevel="0" collapsed="false">
      <c r="A39" s="0" t="str">
        <f aca="false">CONCATENATE("__import__.res_partner_",C39)</f>
        <v>__import__.res_partner_20000000068</v>
      </c>
      <c r="B39" s="2" t="s">
        <v>399</v>
      </c>
      <c r="C39" s="3" t="s">
        <v>400</v>
      </c>
      <c r="D39" s="2" t="s">
        <v>401</v>
      </c>
      <c r="F39" s="2" t="s">
        <v>30</v>
      </c>
      <c r="G39" s="2" t="s">
        <v>31</v>
      </c>
      <c r="H39" s="2" t="s">
        <v>32</v>
      </c>
      <c r="K39" s="2" t="s">
        <v>402</v>
      </c>
      <c r="L39" s="3" t="s">
        <v>123</v>
      </c>
      <c r="M39" s="2" t="s">
        <v>403</v>
      </c>
      <c r="O39" s="2" t="s">
        <v>404</v>
      </c>
      <c r="P39" s="2" t="s">
        <v>37</v>
      </c>
      <c r="Q39" s="2" t="s">
        <v>405</v>
      </c>
      <c r="R39" s="2" t="s">
        <v>406</v>
      </c>
      <c r="T39" s="2" t="s">
        <v>273</v>
      </c>
      <c r="X39" s="2" t="n">
        <v>68</v>
      </c>
      <c r="Y39" s="2" t="s">
        <v>401</v>
      </c>
      <c r="Z39" s="3" t="s">
        <v>407</v>
      </c>
      <c r="AA39" s="4" t="s">
        <v>408</v>
      </c>
    </row>
    <row r="40" customFormat="false" ht="13.8" hidden="false" customHeight="false" outlineLevel="0" collapsed="false">
      <c r="A40" s="0" t="str">
        <f aca="false">CONCATENATE("__import__.res_partner_",C40)</f>
        <v>__import__.res_partner_20000000069</v>
      </c>
      <c r="B40" s="2" t="s">
        <v>409</v>
      </c>
      <c r="C40" s="3" t="s">
        <v>410</v>
      </c>
      <c r="D40" s="2" t="s">
        <v>411</v>
      </c>
      <c r="F40" s="2" t="s">
        <v>30</v>
      </c>
      <c r="G40" s="2" t="s">
        <v>31</v>
      </c>
      <c r="H40" s="2" t="s">
        <v>32</v>
      </c>
      <c r="K40" s="2" t="s">
        <v>412</v>
      </c>
      <c r="L40" s="3" t="s">
        <v>413</v>
      </c>
      <c r="M40" s="2" t="s">
        <v>414</v>
      </c>
      <c r="O40" s="2" t="s">
        <v>415</v>
      </c>
      <c r="P40" s="2" t="s">
        <v>37</v>
      </c>
      <c r="Q40" s="2" t="s">
        <v>416</v>
      </c>
      <c r="R40" s="2" t="s">
        <v>417</v>
      </c>
      <c r="T40" s="2" t="s">
        <v>64</v>
      </c>
      <c r="X40" s="2" t="n">
        <v>69</v>
      </c>
      <c r="Y40" s="2" t="s">
        <v>411</v>
      </c>
      <c r="Z40" s="3" t="s">
        <v>418</v>
      </c>
    </row>
    <row r="41" customFormat="false" ht="13.8" hidden="false" customHeight="false" outlineLevel="0" collapsed="false">
      <c r="A41" s="0" t="str">
        <f aca="false">CONCATENATE("__import__.res_partner_",C41)</f>
        <v>__import__.res_partner_20000000071</v>
      </c>
      <c r="B41" s="2" t="s">
        <v>419</v>
      </c>
      <c r="C41" s="3" t="s">
        <v>420</v>
      </c>
      <c r="D41" s="2" t="s">
        <v>421</v>
      </c>
      <c r="F41" s="2" t="s">
        <v>30</v>
      </c>
      <c r="G41" s="2" t="s">
        <v>31</v>
      </c>
      <c r="H41" s="2" t="s">
        <v>32</v>
      </c>
      <c r="K41" s="2" t="s">
        <v>422</v>
      </c>
      <c r="L41" s="3" t="s">
        <v>423</v>
      </c>
      <c r="M41" s="2" t="s">
        <v>424</v>
      </c>
      <c r="O41" s="2" t="s">
        <v>36</v>
      </c>
      <c r="P41" s="2" t="s">
        <v>37</v>
      </c>
      <c r="R41" s="2" t="s">
        <v>425</v>
      </c>
      <c r="T41" s="2" t="s">
        <v>64</v>
      </c>
      <c r="X41" s="2" t="n">
        <v>71</v>
      </c>
      <c r="Y41" s="2" t="s">
        <v>421</v>
      </c>
      <c r="Z41" s="3" t="s">
        <v>426</v>
      </c>
    </row>
    <row r="42" customFormat="false" ht="13.8" hidden="false" customHeight="false" outlineLevel="0" collapsed="false">
      <c r="A42" s="0" t="str">
        <f aca="false">CONCATENATE("__import__.res_partner_",C42)</f>
        <v>__import__.res_partner_20000000072</v>
      </c>
      <c r="B42" s="2" t="s">
        <v>427</v>
      </c>
      <c r="C42" s="3" t="s">
        <v>428</v>
      </c>
      <c r="D42" s="2" t="s">
        <v>429</v>
      </c>
      <c r="F42" s="2" t="s">
        <v>30</v>
      </c>
      <c r="G42" s="2" t="s">
        <v>31</v>
      </c>
      <c r="H42" s="2" t="s">
        <v>32</v>
      </c>
      <c r="K42" s="2" t="s">
        <v>430</v>
      </c>
      <c r="L42" s="3" t="s">
        <v>431</v>
      </c>
      <c r="M42" s="2" t="s">
        <v>432</v>
      </c>
      <c r="O42" s="2" t="s">
        <v>433</v>
      </c>
      <c r="P42" s="2" t="s">
        <v>37</v>
      </c>
      <c r="R42" s="2" t="s">
        <v>434</v>
      </c>
      <c r="T42" s="2" t="s">
        <v>202</v>
      </c>
      <c r="X42" s="2" t="n">
        <v>72</v>
      </c>
      <c r="Y42" s="2" t="s">
        <v>429</v>
      </c>
      <c r="Z42" s="3" t="s">
        <v>435</v>
      </c>
    </row>
    <row r="43" customFormat="false" ht="13.8" hidden="false" customHeight="false" outlineLevel="0" collapsed="false">
      <c r="A43" s="0" t="str">
        <f aca="false">CONCATENATE("__import__.res_partner_",C43)</f>
        <v>__import__.res_partner_20000000073</v>
      </c>
      <c r="B43" s="2" t="s">
        <v>436</v>
      </c>
      <c r="C43" s="3" t="s">
        <v>437</v>
      </c>
      <c r="D43" s="2" t="s">
        <v>438</v>
      </c>
      <c r="F43" s="2" t="s">
        <v>30</v>
      </c>
      <c r="G43" s="2" t="s">
        <v>31</v>
      </c>
      <c r="H43" s="2" t="s">
        <v>32</v>
      </c>
      <c r="K43" s="2" t="s">
        <v>439</v>
      </c>
      <c r="L43" s="3" t="s">
        <v>440</v>
      </c>
      <c r="M43" s="2" t="s">
        <v>441</v>
      </c>
      <c r="O43" s="2" t="s">
        <v>49</v>
      </c>
      <c r="P43" s="2" t="s">
        <v>37</v>
      </c>
      <c r="R43" s="2" t="s">
        <v>442</v>
      </c>
      <c r="T43" s="2" t="s">
        <v>64</v>
      </c>
      <c r="X43" s="2" t="n">
        <v>73</v>
      </c>
      <c r="Y43" s="2" t="s">
        <v>438</v>
      </c>
      <c r="Z43" s="3" t="s">
        <v>443</v>
      </c>
    </row>
    <row r="44" customFormat="false" ht="13.8" hidden="false" customHeight="false" outlineLevel="0" collapsed="false">
      <c r="A44" s="0" t="str">
        <f aca="false">CONCATENATE("__import__.res_partner_",C44)</f>
        <v>__import__.res_partner_20000000074</v>
      </c>
      <c r="B44" s="2" t="s">
        <v>444</v>
      </c>
      <c r="C44" s="3" t="s">
        <v>445</v>
      </c>
      <c r="D44" s="2" t="s">
        <v>446</v>
      </c>
      <c r="F44" s="2" t="s">
        <v>30</v>
      </c>
      <c r="G44" s="2" t="s">
        <v>31</v>
      </c>
      <c r="H44" s="2" t="s">
        <v>32</v>
      </c>
      <c r="K44" s="2" t="s">
        <v>447</v>
      </c>
      <c r="L44" s="3" t="s">
        <v>448</v>
      </c>
      <c r="M44" s="2" t="s">
        <v>449</v>
      </c>
      <c r="O44" s="2" t="s">
        <v>450</v>
      </c>
      <c r="P44" s="2" t="s">
        <v>37</v>
      </c>
      <c r="Q44" s="2" t="s">
        <v>451</v>
      </c>
      <c r="R44" s="3" t="s">
        <v>452</v>
      </c>
      <c r="T44" s="2" t="s">
        <v>40</v>
      </c>
      <c r="X44" s="2" t="n">
        <v>74</v>
      </c>
      <c r="Y44" s="2" t="s">
        <v>453</v>
      </c>
      <c r="Z44" s="3" t="s">
        <v>454</v>
      </c>
    </row>
    <row r="45" customFormat="false" ht="13.8" hidden="false" customHeight="false" outlineLevel="0" collapsed="false">
      <c r="A45" s="0" t="str">
        <f aca="false">CONCATENATE("__import__.res_partner_",C45)</f>
        <v>__import__.res_partner_20000000075</v>
      </c>
      <c r="B45" s="2" t="s">
        <v>455</v>
      </c>
      <c r="C45" s="3" t="s">
        <v>456</v>
      </c>
      <c r="D45" s="2" t="s">
        <v>457</v>
      </c>
      <c r="F45" s="2" t="s">
        <v>30</v>
      </c>
      <c r="G45" s="2" t="s">
        <v>31</v>
      </c>
      <c r="H45" s="2" t="s">
        <v>32</v>
      </c>
      <c r="K45" s="2" t="s">
        <v>458</v>
      </c>
      <c r="L45" s="3" t="s">
        <v>459</v>
      </c>
      <c r="M45" s="2" t="s">
        <v>460</v>
      </c>
      <c r="O45" s="2" t="s">
        <v>461</v>
      </c>
      <c r="P45" s="2" t="s">
        <v>37</v>
      </c>
      <c r="Q45" s="2" t="s">
        <v>462</v>
      </c>
      <c r="R45" s="3" t="s">
        <v>463</v>
      </c>
      <c r="T45" s="2" t="s">
        <v>40</v>
      </c>
      <c r="X45" s="2" t="n">
        <v>75</v>
      </c>
      <c r="Y45" s="2" t="s">
        <v>457</v>
      </c>
      <c r="Z45" s="3" t="s">
        <v>464</v>
      </c>
      <c r="AA45" s="2" t="s">
        <v>465</v>
      </c>
    </row>
    <row r="46" customFormat="false" ht="91" hidden="false" customHeight="false" outlineLevel="0" collapsed="false">
      <c r="A46" s="0" t="str">
        <f aca="false">CONCATENATE("__import__.res_partner_",C46)</f>
        <v>__import__.res_partner_20000000076</v>
      </c>
      <c r="B46" s="2" t="s">
        <v>466</v>
      </c>
      <c r="C46" s="3" t="s">
        <v>467</v>
      </c>
      <c r="D46" s="2" t="s">
        <v>468</v>
      </c>
      <c r="F46" s="2" t="s">
        <v>30</v>
      </c>
      <c r="G46" s="2" t="s">
        <v>31</v>
      </c>
      <c r="H46" s="2" t="s">
        <v>32</v>
      </c>
      <c r="K46" s="2" t="s">
        <v>469</v>
      </c>
      <c r="L46" s="3" t="s">
        <v>470</v>
      </c>
      <c r="M46" s="2" t="s">
        <v>471</v>
      </c>
      <c r="O46" s="2" t="s">
        <v>472</v>
      </c>
      <c r="P46" s="2" t="s">
        <v>37</v>
      </c>
      <c r="Q46" s="2" t="s">
        <v>271</v>
      </c>
      <c r="R46" s="2" t="s">
        <v>473</v>
      </c>
      <c r="T46" s="2" t="s">
        <v>273</v>
      </c>
      <c r="X46" s="2" t="n">
        <v>76</v>
      </c>
      <c r="Y46" s="2" t="s">
        <v>468</v>
      </c>
      <c r="Z46" s="3" t="s">
        <v>474</v>
      </c>
      <c r="AA46" s="4" t="s">
        <v>475</v>
      </c>
    </row>
    <row r="47" customFormat="false" ht="13.8" hidden="false" customHeight="false" outlineLevel="0" collapsed="false">
      <c r="A47" s="0" t="str">
        <f aca="false">CONCATENATE("__import__.res_partner_",C47)</f>
        <v>__import__.res_partner_20000000077</v>
      </c>
      <c r="B47" s="2" t="s">
        <v>476</v>
      </c>
      <c r="C47" s="3" t="s">
        <v>477</v>
      </c>
      <c r="D47" s="2" t="s">
        <v>478</v>
      </c>
      <c r="F47" s="2" t="s">
        <v>30</v>
      </c>
      <c r="G47" s="2" t="s">
        <v>31</v>
      </c>
      <c r="H47" s="2" t="s">
        <v>32</v>
      </c>
      <c r="K47" s="2" t="s">
        <v>479</v>
      </c>
      <c r="L47" s="3" t="s">
        <v>480</v>
      </c>
      <c r="M47" s="2" t="s">
        <v>481</v>
      </c>
      <c r="O47" s="2" t="s">
        <v>49</v>
      </c>
      <c r="P47" s="2" t="s">
        <v>37</v>
      </c>
      <c r="Q47" s="2" t="s">
        <v>482</v>
      </c>
      <c r="R47" s="2" t="s">
        <v>483</v>
      </c>
      <c r="T47" s="2" t="s">
        <v>64</v>
      </c>
      <c r="X47" s="2" t="n">
        <v>77</v>
      </c>
      <c r="Y47" s="2" t="s">
        <v>478</v>
      </c>
      <c r="Z47" s="3" t="s">
        <v>484</v>
      </c>
      <c r="AA47" s="2" t="s">
        <v>485</v>
      </c>
    </row>
    <row r="48" customFormat="false" ht="13.8" hidden="false" customHeight="false" outlineLevel="0" collapsed="false">
      <c r="A48" s="0" t="str">
        <f aca="false">CONCATENATE("__import__.res_partner_",C48)</f>
        <v>__import__.res_partner_20000000079</v>
      </c>
      <c r="B48" s="2" t="s">
        <v>486</v>
      </c>
      <c r="C48" s="3" t="s">
        <v>487</v>
      </c>
      <c r="D48" s="2" t="s">
        <v>488</v>
      </c>
      <c r="F48" s="2" t="s">
        <v>30</v>
      </c>
      <c r="G48" s="2" t="s">
        <v>31</v>
      </c>
      <c r="H48" s="2" t="s">
        <v>32</v>
      </c>
      <c r="K48" s="2" t="s">
        <v>489</v>
      </c>
      <c r="L48" s="3" t="s">
        <v>355</v>
      </c>
      <c r="M48" s="2" t="s">
        <v>490</v>
      </c>
      <c r="O48" s="2" t="s">
        <v>36</v>
      </c>
      <c r="P48" s="2" t="s">
        <v>37</v>
      </c>
      <c r="R48" s="2" t="s">
        <v>491</v>
      </c>
      <c r="T48" s="2" t="s">
        <v>157</v>
      </c>
      <c r="X48" s="2" t="n">
        <v>79</v>
      </c>
      <c r="Y48" s="2" t="s">
        <v>488</v>
      </c>
      <c r="Z48" s="3" t="s">
        <v>492</v>
      </c>
    </row>
    <row r="49" customFormat="false" ht="16.4" hidden="false" customHeight="false" outlineLevel="0" collapsed="false">
      <c r="A49" s="0" t="str">
        <f aca="false">CONCATENATE("__import__.res_partner_",C49)</f>
        <v>__import__.res_partner_20000000080</v>
      </c>
      <c r="B49" s="2" t="s">
        <v>493</v>
      </c>
      <c r="C49" s="3" t="s">
        <v>494</v>
      </c>
      <c r="D49" s="2" t="s">
        <v>495</v>
      </c>
      <c r="F49" s="2" t="s">
        <v>30</v>
      </c>
      <c r="G49" s="2" t="s">
        <v>31</v>
      </c>
      <c r="H49" s="2" t="s">
        <v>32</v>
      </c>
      <c r="K49" s="2" t="s">
        <v>496</v>
      </c>
      <c r="L49" s="3" t="s">
        <v>497</v>
      </c>
      <c r="M49" s="2" t="s">
        <v>498</v>
      </c>
      <c r="O49" s="2" t="s">
        <v>499</v>
      </c>
      <c r="P49" s="2" t="s">
        <v>37</v>
      </c>
      <c r="Q49" s="2" t="s">
        <v>500</v>
      </c>
      <c r="R49" s="2" t="s">
        <v>501</v>
      </c>
      <c r="T49" s="2" t="s">
        <v>157</v>
      </c>
      <c r="X49" s="2" t="n">
        <v>80</v>
      </c>
      <c r="Y49" s="2" t="s">
        <v>502</v>
      </c>
      <c r="Z49" s="3" t="s">
        <v>503</v>
      </c>
      <c r="AA49" s="4" t="s">
        <v>504</v>
      </c>
    </row>
    <row r="50" customFormat="false" ht="16.4" hidden="false" customHeight="false" outlineLevel="0" collapsed="false">
      <c r="A50" s="0" t="str">
        <f aca="false">CONCATENATE("__import__.res_partner_",C50)</f>
        <v>__import__.res_partner_20000000081</v>
      </c>
      <c r="B50" s="2" t="s">
        <v>505</v>
      </c>
      <c r="C50" s="3" t="s">
        <v>506</v>
      </c>
      <c r="D50" s="2" t="s">
        <v>507</v>
      </c>
      <c r="F50" s="2" t="s">
        <v>30</v>
      </c>
      <c r="G50" s="2" t="s">
        <v>31</v>
      </c>
      <c r="H50" s="2" t="s">
        <v>32</v>
      </c>
      <c r="K50" s="2" t="s">
        <v>508</v>
      </c>
      <c r="L50" s="3" t="s">
        <v>509</v>
      </c>
      <c r="M50" s="2" t="s">
        <v>510</v>
      </c>
      <c r="O50" s="2" t="s">
        <v>511</v>
      </c>
      <c r="P50" s="2" t="s">
        <v>37</v>
      </c>
      <c r="Q50" s="2" t="s">
        <v>512</v>
      </c>
      <c r="R50" s="2" t="s">
        <v>513</v>
      </c>
      <c r="T50" s="2" t="s">
        <v>40</v>
      </c>
      <c r="X50" s="2" t="n">
        <v>81</v>
      </c>
      <c r="Y50" s="2" t="s">
        <v>507</v>
      </c>
      <c r="Z50" s="3" t="s">
        <v>514</v>
      </c>
      <c r="AA50" s="4" t="s">
        <v>515</v>
      </c>
    </row>
    <row r="51" customFormat="false" ht="13.8" hidden="false" customHeight="false" outlineLevel="0" collapsed="false">
      <c r="A51" s="0" t="str">
        <f aca="false">CONCATENATE("__import__.res_partner_",C51)</f>
        <v>__import__.res_partner_20000000082</v>
      </c>
      <c r="B51" s="2" t="s">
        <v>516</v>
      </c>
      <c r="C51" s="3" t="s">
        <v>517</v>
      </c>
      <c r="D51" s="2" t="s">
        <v>518</v>
      </c>
      <c r="F51" s="2" t="s">
        <v>30</v>
      </c>
      <c r="G51" s="2" t="s">
        <v>31</v>
      </c>
      <c r="H51" s="2" t="s">
        <v>32</v>
      </c>
      <c r="K51" s="2" t="s">
        <v>519</v>
      </c>
      <c r="L51" s="3" t="s">
        <v>520</v>
      </c>
      <c r="M51" s="2" t="s">
        <v>521</v>
      </c>
      <c r="O51" s="2" t="s">
        <v>116</v>
      </c>
      <c r="P51" s="2" t="s">
        <v>37</v>
      </c>
      <c r="R51" s="2" t="s">
        <v>522</v>
      </c>
      <c r="T51" s="2" t="s">
        <v>202</v>
      </c>
      <c r="X51" s="2" t="n">
        <v>82</v>
      </c>
      <c r="Y51" s="2" t="s">
        <v>518</v>
      </c>
      <c r="Z51" s="3" t="s">
        <v>523</v>
      </c>
    </row>
    <row r="52" customFormat="false" ht="13.8" hidden="false" customHeight="false" outlineLevel="0" collapsed="false">
      <c r="A52" s="0" t="str">
        <f aca="false">CONCATENATE("__import__.res_partner_",C52)</f>
        <v>__import__.res_partner_20000000084</v>
      </c>
      <c r="B52" s="2" t="s">
        <v>524</v>
      </c>
      <c r="C52" s="3" t="s">
        <v>525</v>
      </c>
      <c r="D52" s="2" t="s">
        <v>526</v>
      </c>
      <c r="F52" s="2" t="s">
        <v>30</v>
      </c>
      <c r="G52" s="2" t="s">
        <v>31</v>
      </c>
      <c r="H52" s="2" t="s">
        <v>32</v>
      </c>
      <c r="K52" s="2" t="s">
        <v>527</v>
      </c>
      <c r="L52" s="3" t="s">
        <v>528</v>
      </c>
      <c r="M52" s="2" t="s">
        <v>529</v>
      </c>
      <c r="O52" s="2" t="s">
        <v>530</v>
      </c>
      <c r="P52" s="2" t="s">
        <v>37</v>
      </c>
      <c r="Q52" s="2" t="s">
        <v>512</v>
      </c>
      <c r="R52" s="2" t="s">
        <v>531</v>
      </c>
      <c r="T52" s="2" t="s">
        <v>40</v>
      </c>
      <c r="X52" s="2" t="n">
        <v>84</v>
      </c>
      <c r="Y52" s="2" t="s">
        <v>532</v>
      </c>
      <c r="Z52" s="3" t="s">
        <v>533</v>
      </c>
      <c r="AA52" s="2" t="s">
        <v>534</v>
      </c>
    </row>
    <row r="53" customFormat="false" ht="13.8" hidden="false" customHeight="false" outlineLevel="0" collapsed="false">
      <c r="A53" s="0" t="str">
        <f aca="false">CONCATENATE("__import__.res_partner_",C53)</f>
        <v>__import__.res_partner_20000000085</v>
      </c>
      <c r="B53" s="2" t="s">
        <v>535</v>
      </c>
      <c r="C53" s="3" t="s">
        <v>536</v>
      </c>
      <c r="D53" s="2" t="s">
        <v>537</v>
      </c>
      <c r="F53" s="2" t="s">
        <v>30</v>
      </c>
      <c r="G53" s="2" t="s">
        <v>31</v>
      </c>
      <c r="H53" s="2" t="s">
        <v>32</v>
      </c>
      <c r="K53" s="2" t="s">
        <v>538</v>
      </c>
      <c r="L53" s="3" t="s">
        <v>539</v>
      </c>
      <c r="M53" s="2" t="s">
        <v>540</v>
      </c>
      <c r="O53" s="2" t="s">
        <v>541</v>
      </c>
      <c r="P53" s="2" t="s">
        <v>37</v>
      </c>
      <c r="R53" s="2" t="s">
        <v>542</v>
      </c>
      <c r="T53" s="2" t="s">
        <v>64</v>
      </c>
      <c r="X53" s="2" t="n">
        <v>85</v>
      </c>
      <c r="Y53" s="2" t="s">
        <v>537</v>
      </c>
      <c r="Z53" s="3" t="s">
        <v>543</v>
      </c>
    </row>
    <row r="54" customFormat="false" ht="61.15" hidden="false" customHeight="false" outlineLevel="0" collapsed="false">
      <c r="A54" s="0" t="str">
        <f aca="false">CONCATENATE("__import__.res_partner_",C54)</f>
        <v>__import__.res_partner_20000000086</v>
      </c>
      <c r="B54" s="2" t="s">
        <v>544</v>
      </c>
      <c r="C54" s="3" t="s">
        <v>545</v>
      </c>
      <c r="D54" s="2" t="s">
        <v>546</v>
      </c>
      <c r="F54" s="2" t="s">
        <v>30</v>
      </c>
      <c r="G54" s="2" t="s">
        <v>31</v>
      </c>
      <c r="H54" s="2" t="s">
        <v>32</v>
      </c>
      <c r="K54" s="2" t="s">
        <v>547</v>
      </c>
      <c r="L54" s="3" t="s">
        <v>548</v>
      </c>
      <c r="M54" s="2" t="s">
        <v>549</v>
      </c>
      <c r="O54" s="2" t="s">
        <v>550</v>
      </c>
      <c r="P54" s="2" t="s">
        <v>37</v>
      </c>
      <c r="Q54" s="2" t="s">
        <v>232</v>
      </c>
      <c r="R54" s="2" t="s">
        <v>551</v>
      </c>
      <c r="T54" s="2" t="s">
        <v>40</v>
      </c>
      <c r="X54" s="2" t="n">
        <v>86</v>
      </c>
      <c r="Y54" s="2" t="s">
        <v>546</v>
      </c>
      <c r="Z54" s="3" t="s">
        <v>552</v>
      </c>
      <c r="AA54" s="4" t="s">
        <v>553</v>
      </c>
    </row>
    <row r="55" customFormat="false" ht="13.8" hidden="false" customHeight="false" outlineLevel="0" collapsed="false">
      <c r="A55" s="0" t="str">
        <f aca="false">CONCATENATE("__import__.res_partner_",C55)</f>
        <v>__import__.res_partner_20000000087</v>
      </c>
      <c r="B55" s="2" t="s">
        <v>554</v>
      </c>
      <c r="C55" s="3" t="s">
        <v>555</v>
      </c>
      <c r="D55" s="2" t="s">
        <v>556</v>
      </c>
      <c r="F55" s="3" t="s">
        <v>557</v>
      </c>
      <c r="G55" s="2" t="s">
        <v>31</v>
      </c>
      <c r="H55" s="2" t="s">
        <v>32</v>
      </c>
      <c r="K55" s="2" t="s">
        <v>558</v>
      </c>
      <c r="L55" s="3" t="s">
        <v>559</v>
      </c>
      <c r="M55" s="2" t="s">
        <v>560</v>
      </c>
      <c r="N55" s="2" t="s">
        <v>561</v>
      </c>
      <c r="O55" s="2" t="s">
        <v>562</v>
      </c>
      <c r="P55" s="2" t="s">
        <v>563</v>
      </c>
      <c r="Q55" s="2" t="s">
        <v>564</v>
      </c>
      <c r="T55" s="2" t="s">
        <v>565</v>
      </c>
      <c r="X55" s="2" t="n">
        <v>87</v>
      </c>
      <c r="Y55" s="2" t="s">
        <v>566</v>
      </c>
      <c r="Z55" s="3" t="s">
        <v>567</v>
      </c>
    </row>
    <row r="56" customFormat="false" ht="13.8" hidden="false" customHeight="false" outlineLevel="0" collapsed="false">
      <c r="A56" s="0" t="str">
        <f aca="false">CONCATENATE("__import__.res_partner_",C56)</f>
        <v>__import__.res_partner_20000000088</v>
      </c>
      <c r="B56" s="2" t="s">
        <v>568</v>
      </c>
      <c r="C56" s="3" t="s">
        <v>569</v>
      </c>
      <c r="D56" s="2" t="s">
        <v>570</v>
      </c>
      <c r="F56" s="2" t="s">
        <v>30</v>
      </c>
      <c r="G56" s="2" t="s">
        <v>31</v>
      </c>
      <c r="H56" s="2" t="s">
        <v>32</v>
      </c>
      <c r="K56" s="2" t="s">
        <v>571</v>
      </c>
      <c r="L56" s="3" t="s">
        <v>572</v>
      </c>
      <c r="M56" s="2" t="s">
        <v>573</v>
      </c>
      <c r="O56" s="2" t="s">
        <v>574</v>
      </c>
      <c r="P56" s="2" t="s">
        <v>37</v>
      </c>
      <c r="Q56" s="2" t="s">
        <v>575</v>
      </c>
      <c r="R56" s="3" t="s">
        <v>576</v>
      </c>
      <c r="T56" s="2" t="s">
        <v>157</v>
      </c>
      <c r="X56" s="2" t="n">
        <v>88</v>
      </c>
      <c r="Y56" s="2" t="s">
        <v>570</v>
      </c>
      <c r="Z56" s="3" t="s">
        <v>577</v>
      </c>
    </row>
    <row r="57" customFormat="false" ht="13.8" hidden="false" customHeight="false" outlineLevel="0" collapsed="false">
      <c r="A57" s="0" t="str">
        <f aca="false">CONCATENATE("__import__.res_partner_",C57)</f>
        <v>__import__.res_partner_20000000090</v>
      </c>
      <c r="B57" s="2" t="s">
        <v>578</v>
      </c>
      <c r="C57" s="3" t="s">
        <v>579</v>
      </c>
      <c r="D57" s="2" t="s">
        <v>580</v>
      </c>
      <c r="F57" s="2" t="s">
        <v>30</v>
      </c>
      <c r="G57" s="2" t="s">
        <v>31</v>
      </c>
      <c r="H57" s="2" t="s">
        <v>32</v>
      </c>
      <c r="K57" s="2" t="s">
        <v>581</v>
      </c>
      <c r="L57" s="3" t="s">
        <v>582</v>
      </c>
      <c r="M57" s="2" t="s">
        <v>583</v>
      </c>
      <c r="O57" s="2" t="s">
        <v>584</v>
      </c>
      <c r="P57" s="2" t="s">
        <v>37</v>
      </c>
      <c r="R57" s="2" t="s">
        <v>585</v>
      </c>
      <c r="T57" s="2" t="s">
        <v>202</v>
      </c>
      <c r="X57" s="2" t="n">
        <v>90</v>
      </c>
      <c r="Y57" s="2" t="s">
        <v>580</v>
      </c>
      <c r="Z57" s="3" t="s">
        <v>586</v>
      </c>
    </row>
    <row r="58" customFormat="false" ht="13.8" hidden="false" customHeight="false" outlineLevel="0" collapsed="false">
      <c r="A58" s="0" t="str">
        <f aca="false">CONCATENATE("__import__.res_partner_",C58)</f>
        <v>__import__.res_partner_20000000091</v>
      </c>
      <c r="B58" s="2" t="s">
        <v>587</v>
      </c>
      <c r="C58" s="3" t="s">
        <v>588</v>
      </c>
      <c r="D58" s="2" t="s">
        <v>589</v>
      </c>
      <c r="F58" s="2" t="s">
        <v>30</v>
      </c>
      <c r="G58" s="2" t="s">
        <v>31</v>
      </c>
      <c r="H58" s="2" t="s">
        <v>32</v>
      </c>
      <c r="K58" s="2" t="s">
        <v>590</v>
      </c>
      <c r="L58" s="3" t="s">
        <v>591</v>
      </c>
      <c r="M58" s="2" t="s">
        <v>592</v>
      </c>
      <c r="O58" s="2" t="s">
        <v>36</v>
      </c>
      <c r="P58" s="2" t="s">
        <v>37</v>
      </c>
      <c r="Q58" s="2" t="s">
        <v>593</v>
      </c>
      <c r="R58" s="2" t="s">
        <v>594</v>
      </c>
      <c r="T58" s="2" t="s">
        <v>40</v>
      </c>
      <c r="X58" s="2" t="n">
        <v>91</v>
      </c>
      <c r="Y58" s="2" t="s">
        <v>589</v>
      </c>
      <c r="Z58" s="3" t="s">
        <v>595</v>
      </c>
    </row>
    <row r="59" customFormat="false" ht="13.8" hidden="false" customHeight="false" outlineLevel="0" collapsed="false">
      <c r="A59" s="0" t="str">
        <f aca="false">CONCATENATE("__import__.res_partner_",C59)</f>
        <v>__import__.res_partner_20000000092</v>
      </c>
      <c r="B59" s="2" t="s">
        <v>596</v>
      </c>
      <c r="C59" s="3" t="s">
        <v>597</v>
      </c>
      <c r="D59" s="2" t="s">
        <v>598</v>
      </c>
      <c r="F59" s="2" t="s">
        <v>30</v>
      </c>
      <c r="G59" s="2" t="s">
        <v>31</v>
      </c>
      <c r="H59" s="2" t="s">
        <v>32</v>
      </c>
      <c r="K59" s="2" t="s">
        <v>599</v>
      </c>
      <c r="L59" s="3" t="s">
        <v>600</v>
      </c>
      <c r="M59" s="2" t="s">
        <v>601</v>
      </c>
      <c r="O59" s="2" t="s">
        <v>36</v>
      </c>
      <c r="P59" s="2" t="s">
        <v>37</v>
      </c>
      <c r="R59" s="2" t="s">
        <v>602</v>
      </c>
      <c r="T59" s="2" t="s">
        <v>40</v>
      </c>
      <c r="X59" s="2" t="n">
        <v>92</v>
      </c>
      <c r="Y59" s="2" t="s">
        <v>598</v>
      </c>
      <c r="Z59" s="3" t="s">
        <v>603</v>
      </c>
    </row>
    <row r="60" customFormat="false" ht="13.8" hidden="false" customHeight="false" outlineLevel="0" collapsed="false">
      <c r="A60" s="0" t="str">
        <f aca="false">CONCATENATE("__import__.res_partner_",C60)</f>
        <v>__import__.res_partner_20000000093</v>
      </c>
      <c r="B60" s="2" t="s">
        <v>604</v>
      </c>
      <c r="C60" s="3" t="s">
        <v>605</v>
      </c>
      <c r="D60" s="2" t="s">
        <v>606</v>
      </c>
      <c r="F60" s="2" t="s">
        <v>30</v>
      </c>
      <c r="G60" s="2" t="s">
        <v>31</v>
      </c>
      <c r="H60" s="2" t="s">
        <v>32</v>
      </c>
      <c r="K60" s="2" t="s">
        <v>607</v>
      </c>
      <c r="L60" s="3" t="s">
        <v>608</v>
      </c>
      <c r="M60" s="2" t="s">
        <v>609</v>
      </c>
      <c r="O60" s="2" t="s">
        <v>49</v>
      </c>
      <c r="P60" s="2" t="s">
        <v>37</v>
      </c>
      <c r="R60" s="2" t="s">
        <v>610</v>
      </c>
      <c r="T60" s="2" t="s">
        <v>97</v>
      </c>
      <c r="X60" s="2" t="n">
        <v>93</v>
      </c>
      <c r="Y60" s="2" t="s">
        <v>606</v>
      </c>
      <c r="Z60" s="3" t="s">
        <v>611</v>
      </c>
    </row>
    <row r="61" customFormat="false" ht="13.8" hidden="false" customHeight="false" outlineLevel="0" collapsed="false">
      <c r="A61" s="0" t="str">
        <f aca="false">CONCATENATE("__import__.res_partner_",C61)</f>
        <v>__import__.res_partner_20000000094</v>
      </c>
      <c r="B61" s="2" t="s">
        <v>612</v>
      </c>
      <c r="C61" s="3" t="s">
        <v>613</v>
      </c>
      <c r="D61" s="2" t="s">
        <v>614</v>
      </c>
      <c r="F61" s="2" t="s">
        <v>30</v>
      </c>
      <c r="G61" s="2" t="s">
        <v>31</v>
      </c>
      <c r="H61" s="2" t="s">
        <v>32</v>
      </c>
      <c r="K61" s="2" t="s">
        <v>615</v>
      </c>
      <c r="L61" s="3" t="s">
        <v>47</v>
      </c>
      <c r="M61" s="2" t="s">
        <v>616</v>
      </c>
      <c r="O61" s="2" t="s">
        <v>49</v>
      </c>
      <c r="P61" s="2" t="s">
        <v>37</v>
      </c>
      <c r="R61" s="2" t="s">
        <v>617</v>
      </c>
      <c r="T61" s="2" t="s">
        <v>64</v>
      </c>
      <c r="X61" s="2" t="n">
        <v>94</v>
      </c>
      <c r="Y61" s="2" t="s">
        <v>614</v>
      </c>
      <c r="Z61" s="3" t="s">
        <v>618</v>
      </c>
    </row>
    <row r="62" customFormat="false" ht="13.8" hidden="false" customHeight="false" outlineLevel="0" collapsed="false">
      <c r="A62" s="0" t="str">
        <f aca="false">CONCATENATE("__import__.res_partner_",C62)</f>
        <v>__import__.res_partner_20000000095</v>
      </c>
      <c r="B62" s="2" t="s">
        <v>619</v>
      </c>
      <c r="C62" s="3" t="s">
        <v>620</v>
      </c>
      <c r="D62" s="2" t="s">
        <v>621</v>
      </c>
      <c r="F62" s="2" t="s">
        <v>30</v>
      </c>
      <c r="G62" s="2" t="s">
        <v>31</v>
      </c>
      <c r="H62" s="2" t="s">
        <v>32</v>
      </c>
      <c r="K62" s="2" t="s">
        <v>622</v>
      </c>
      <c r="L62" s="3" t="s">
        <v>623</v>
      </c>
      <c r="M62" s="2" t="s">
        <v>624</v>
      </c>
      <c r="O62" s="2" t="s">
        <v>625</v>
      </c>
      <c r="P62" s="2" t="s">
        <v>37</v>
      </c>
      <c r="R62" s="2" t="s">
        <v>626</v>
      </c>
      <c r="T62" s="2" t="s">
        <v>40</v>
      </c>
      <c r="X62" s="2" t="n">
        <v>95</v>
      </c>
      <c r="Y62" s="2" t="s">
        <v>621</v>
      </c>
      <c r="Z62" s="3" t="s">
        <v>627</v>
      </c>
    </row>
    <row r="63" customFormat="false" ht="13.8" hidden="false" customHeight="false" outlineLevel="0" collapsed="false">
      <c r="A63" s="0" t="str">
        <f aca="false">CONCATENATE("__import__.res_partner_",C63)</f>
        <v>__import__.res_partner_20000000098</v>
      </c>
      <c r="B63" s="2" t="s">
        <v>628</v>
      </c>
      <c r="C63" s="3" t="s">
        <v>629</v>
      </c>
      <c r="D63" s="2" t="s">
        <v>630</v>
      </c>
      <c r="F63" s="2" t="s">
        <v>30</v>
      </c>
      <c r="G63" s="2" t="s">
        <v>31</v>
      </c>
      <c r="H63" s="2" t="s">
        <v>32</v>
      </c>
      <c r="K63" s="2" t="s">
        <v>631</v>
      </c>
      <c r="L63" s="3" t="s">
        <v>632</v>
      </c>
      <c r="M63" s="2" t="s">
        <v>633</v>
      </c>
      <c r="O63" s="2" t="s">
        <v>634</v>
      </c>
      <c r="P63" s="2" t="s">
        <v>37</v>
      </c>
      <c r="R63" s="2" t="s">
        <v>635</v>
      </c>
      <c r="T63" s="2" t="s">
        <v>202</v>
      </c>
      <c r="X63" s="2" t="n">
        <v>98</v>
      </c>
      <c r="Y63" s="2" t="s">
        <v>630</v>
      </c>
      <c r="Z63" s="3" t="s">
        <v>636</v>
      </c>
    </row>
    <row r="64" customFormat="false" ht="13.8" hidden="false" customHeight="false" outlineLevel="0" collapsed="false">
      <c r="A64" s="0" t="str">
        <f aca="false">CONCATENATE("__import__.res_partner_",C64)</f>
        <v>__import__.res_partner_20000000100</v>
      </c>
      <c r="B64" s="2" t="s">
        <v>637</v>
      </c>
      <c r="C64" s="3" t="s">
        <v>638</v>
      </c>
      <c r="D64" s="2" t="s">
        <v>639</v>
      </c>
      <c r="F64" s="2" t="s">
        <v>30</v>
      </c>
      <c r="G64" s="2" t="s">
        <v>31</v>
      </c>
      <c r="H64" s="2" t="s">
        <v>32</v>
      </c>
      <c r="K64" s="2" t="s">
        <v>640</v>
      </c>
      <c r="L64" s="3" t="s">
        <v>641</v>
      </c>
      <c r="M64" s="2" t="s">
        <v>642</v>
      </c>
      <c r="O64" s="2" t="s">
        <v>643</v>
      </c>
      <c r="P64" s="2" t="s">
        <v>37</v>
      </c>
      <c r="R64" s="2" t="s">
        <v>644</v>
      </c>
      <c r="T64" s="2" t="s">
        <v>157</v>
      </c>
      <c r="X64" s="2" t="n">
        <v>100</v>
      </c>
      <c r="Y64" s="2" t="s">
        <v>639</v>
      </c>
      <c r="Z64" s="3" t="s">
        <v>645</v>
      </c>
    </row>
    <row r="65" customFormat="false" ht="13.8" hidden="false" customHeight="false" outlineLevel="0" collapsed="false">
      <c r="A65" s="0" t="str">
        <f aca="false">CONCATENATE("__import__.res_partner_",C65)</f>
        <v>__import__.res_partner_20000000111</v>
      </c>
      <c r="B65" s="2" t="s">
        <v>646</v>
      </c>
      <c r="C65" s="3" t="s">
        <v>647</v>
      </c>
      <c r="D65" s="2" t="s">
        <v>648</v>
      </c>
      <c r="F65" s="2" t="s">
        <v>30</v>
      </c>
      <c r="G65" s="2" t="s">
        <v>31</v>
      </c>
      <c r="H65" s="2" t="s">
        <v>32</v>
      </c>
      <c r="K65" s="2" t="s">
        <v>649</v>
      </c>
      <c r="L65" s="3" t="s">
        <v>650</v>
      </c>
      <c r="M65" s="2" t="s">
        <v>651</v>
      </c>
      <c r="O65" s="2" t="s">
        <v>652</v>
      </c>
      <c r="P65" s="2" t="s">
        <v>37</v>
      </c>
      <c r="Q65" s="2" t="s">
        <v>653</v>
      </c>
      <c r="R65" s="3" t="s">
        <v>654</v>
      </c>
      <c r="T65" s="2" t="s">
        <v>108</v>
      </c>
      <c r="X65" s="2" t="n">
        <v>111</v>
      </c>
      <c r="Y65" s="2" t="s">
        <v>655</v>
      </c>
      <c r="Z65" s="3" t="s">
        <v>656</v>
      </c>
    </row>
    <row r="66" customFormat="false" ht="13.8" hidden="false" customHeight="false" outlineLevel="0" collapsed="false">
      <c r="A66" s="0" t="str">
        <f aca="false">CONCATENATE("__import__.res_partner_",C66)</f>
        <v>__import__.res_partner_20000000112</v>
      </c>
      <c r="B66" s="2" t="s">
        <v>657</v>
      </c>
      <c r="C66" s="3" t="s">
        <v>658</v>
      </c>
      <c r="D66" s="2" t="s">
        <v>659</v>
      </c>
      <c r="F66" s="2" t="s">
        <v>30</v>
      </c>
      <c r="G66" s="2" t="s">
        <v>31</v>
      </c>
      <c r="H66" s="2" t="s">
        <v>32</v>
      </c>
      <c r="K66" s="2" t="s">
        <v>660</v>
      </c>
      <c r="L66" s="3" t="s">
        <v>661</v>
      </c>
      <c r="M66" s="2" t="s">
        <v>662</v>
      </c>
      <c r="O66" s="2" t="s">
        <v>663</v>
      </c>
      <c r="P66" s="2" t="s">
        <v>37</v>
      </c>
      <c r="Q66" s="2" t="s">
        <v>664</v>
      </c>
      <c r="R66" s="2" t="s">
        <v>665</v>
      </c>
      <c r="T66" s="2" t="s">
        <v>108</v>
      </c>
      <c r="X66" s="2" t="n">
        <v>112</v>
      </c>
      <c r="Y66" s="2" t="s">
        <v>666</v>
      </c>
      <c r="Z66" s="3" t="s">
        <v>667</v>
      </c>
    </row>
    <row r="67" customFormat="false" ht="13.8" hidden="false" customHeight="false" outlineLevel="0" collapsed="false">
      <c r="A67" s="0" t="str">
        <f aca="false">CONCATENATE("__import__.res_partner_",C67)</f>
        <v>__import__.res_partner_20000000119</v>
      </c>
      <c r="B67" s="2" t="s">
        <v>668</v>
      </c>
      <c r="C67" s="3" t="s">
        <v>669</v>
      </c>
      <c r="D67" s="2" t="s">
        <v>670</v>
      </c>
      <c r="F67" s="2" t="s">
        <v>30</v>
      </c>
      <c r="G67" s="2" t="s">
        <v>31</v>
      </c>
      <c r="H67" s="2" t="s">
        <v>32</v>
      </c>
      <c r="K67" s="2" t="s">
        <v>671</v>
      </c>
      <c r="L67" s="2" t="s">
        <v>672</v>
      </c>
      <c r="M67" s="2" t="s">
        <v>673</v>
      </c>
      <c r="O67" s="2" t="s">
        <v>674</v>
      </c>
      <c r="P67" s="2" t="s">
        <v>675</v>
      </c>
      <c r="Q67" s="2" t="s">
        <v>676</v>
      </c>
      <c r="R67" s="3" t="s">
        <v>677</v>
      </c>
      <c r="T67" s="2" t="s">
        <v>108</v>
      </c>
      <c r="X67" s="2" t="n">
        <v>119</v>
      </c>
      <c r="Y67" s="2" t="s">
        <v>678</v>
      </c>
      <c r="Z67" s="3" t="s">
        <v>679</v>
      </c>
    </row>
    <row r="68" customFormat="false" ht="13.8" hidden="false" customHeight="false" outlineLevel="0" collapsed="false">
      <c r="A68" s="0" t="str">
        <f aca="false">CONCATENATE("__import__.res_partner_",C68)</f>
        <v>__import__.res_partner_20000000120</v>
      </c>
      <c r="B68" s="2" t="s">
        <v>680</v>
      </c>
      <c r="C68" s="3" t="s">
        <v>681</v>
      </c>
      <c r="D68" s="2" t="s">
        <v>682</v>
      </c>
      <c r="F68" s="2" t="s">
        <v>30</v>
      </c>
      <c r="G68" s="2" t="s">
        <v>31</v>
      </c>
      <c r="H68" s="2" t="s">
        <v>32</v>
      </c>
      <c r="K68" s="2" t="s">
        <v>683</v>
      </c>
      <c r="L68" s="3" t="s">
        <v>684</v>
      </c>
      <c r="M68" s="2" t="s">
        <v>685</v>
      </c>
      <c r="O68" s="2" t="s">
        <v>686</v>
      </c>
      <c r="P68" s="2" t="s">
        <v>37</v>
      </c>
      <c r="Q68" s="2" t="s">
        <v>687</v>
      </c>
      <c r="R68" s="2" t="s">
        <v>688</v>
      </c>
      <c r="T68" s="2" t="s">
        <v>97</v>
      </c>
      <c r="X68" s="2" t="n">
        <v>120</v>
      </c>
      <c r="Y68" s="2" t="s">
        <v>689</v>
      </c>
      <c r="Z68" s="3" t="s">
        <v>690</v>
      </c>
    </row>
    <row r="69" customFormat="false" ht="13.8" hidden="false" customHeight="false" outlineLevel="0" collapsed="false">
      <c r="A69" s="0" t="str">
        <f aca="false">CONCATENATE("__import__.res_partner_",C69)</f>
        <v>__import__.res_partner_20000000121</v>
      </c>
      <c r="B69" s="2" t="s">
        <v>691</v>
      </c>
      <c r="C69" s="3" t="s">
        <v>692</v>
      </c>
      <c r="D69" s="2" t="s">
        <v>693</v>
      </c>
      <c r="F69" s="2" t="s">
        <v>30</v>
      </c>
      <c r="G69" s="2" t="s">
        <v>31</v>
      </c>
      <c r="H69" s="2" t="s">
        <v>32</v>
      </c>
      <c r="K69" s="2" t="s">
        <v>694</v>
      </c>
      <c r="L69" s="3" t="s">
        <v>695</v>
      </c>
      <c r="M69" s="2" t="s">
        <v>696</v>
      </c>
      <c r="O69" s="2" t="s">
        <v>36</v>
      </c>
      <c r="P69" s="2" t="s">
        <v>37</v>
      </c>
      <c r="T69" s="2" t="s">
        <v>697</v>
      </c>
      <c r="X69" s="2" t="n">
        <v>121</v>
      </c>
      <c r="Y69" s="2" t="s">
        <v>678</v>
      </c>
      <c r="Z69" s="3" t="s">
        <v>698</v>
      </c>
    </row>
    <row r="70" customFormat="false" ht="42.75" hidden="false" customHeight="false" outlineLevel="0" collapsed="false">
      <c r="A70" s="0" t="str">
        <f aca="false">CONCATENATE("__import__.res_partner_",C70)</f>
        <v>__import__.res_partner_20000000122</v>
      </c>
      <c r="B70" s="2" t="s">
        <v>699</v>
      </c>
      <c r="C70" s="3" t="s">
        <v>700</v>
      </c>
      <c r="D70" s="2" t="s">
        <v>701</v>
      </c>
      <c r="F70" s="2" t="s">
        <v>30</v>
      </c>
      <c r="G70" s="2" t="s">
        <v>31</v>
      </c>
      <c r="H70" s="2" t="s">
        <v>32</v>
      </c>
      <c r="K70" s="2" t="s">
        <v>702</v>
      </c>
      <c r="L70" s="3" t="s">
        <v>703</v>
      </c>
      <c r="M70" s="2" t="s">
        <v>704</v>
      </c>
      <c r="O70" s="2" t="s">
        <v>705</v>
      </c>
      <c r="P70" s="2" t="s">
        <v>37</v>
      </c>
      <c r="Q70" s="2" t="s">
        <v>706</v>
      </c>
      <c r="R70" s="2" t="s">
        <v>707</v>
      </c>
      <c r="T70" s="2" t="s">
        <v>97</v>
      </c>
      <c r="X70" s="2" t="n">
        <v>122</v>
      </c>
      <c r="Y70" s="2" t="s">
        <v>701</v>
      </c>
      <c r="Z70" s="3" t="s">
        <v>708</v>
      </c>
      <c r="AA70" s="4" t="s">
        <v>709</v>
      </c>
    </row>
    <row r="71" customFormat="false" ht="13.8" hidden="false" customHeight="false" outlineLevel="0" collapsed="false">
      <c r="A71" s="0" t="str">
        <f aca="false">CONCATENATE("__import__.res_partner_",C71)</f>
        <v>__import__.res_partner_20000000123</v>
      </c>
      <c r="B71" s="2" t="s">
        <v>710</v>
      </c>
      <c r="C71" s="3" t="s">
        <v>711</v>
      </c>
      <c r="D71" s="2" t="s">
        <v>712</v>
      </c>
      <c r="F71" s="2" t="s">
        <v>30</v>
      </c>
      <c r="G71" s="2" t="s">
        <v>31</v>
      </c>
      <c r="H71" s="2" t="s">
        <v>32</v>
      </c>
      <c r="K71" s="2" t="s">
        <v>713</v>
      </c>
      <c r="L71" s="3" t="s">
        <v>714</v>
      </c>
      <c r="M71" s="2" t="s">
        <v>715</v>
      </c>
      <c r="O71" s="2" t="s">
        <v>716</v>
      </c>
      <c r="P71" s="2" t="s">
        <v>37</v>
      </c>
      <c r="R71" s="2" t="s">
        <v>717</v>
      </c>
      <c r="T71" s="2" t="s">
        <v>202</v>
      </c>
      <c r="X71" s="2" t="n">
        <v>123</v>
      </c>
      <c r="Y71" s="2" t="s">
        <v>712</v>
      </c>
      <c r="Z71" s="3" t="s">
        <v>718</v>
      </c>
    </row>
    <row r="72" customFormat="false" ht="13.8" hidden="false" customHeight="false" outlineLevel="0" collapsed="false">
      <c r="A72" s="0" t="str">
        <f aca="false">CONCATENATE("__import__.res_partner_",C72)</f>
        <v>__import__.res_partner_20000000124</v>
      </c>
      <c r="B72" s="2" t="s">
        <v>719</v>
      </c>
      <c r="C72" s="3" t="s">
        <v>720</v>
      </c>
      <c r="D72" s="2" t="s">
        <v>721</v>
      </c>
      <c r="F72" s="2" t="s">
        <v>30</v>
      </c>
      <c r="G72" s="2" t="s">
        <v>31</v>
      </c>
      <c r="H72" s="2" t="s">
        <v>32</v>
      </c>
      <c r="K72" s="2" t="s">
        <v>722</v>
      </c>
      <c r="L72" s="3" t="s">
        <v>723</v>
      </c>
      <c r="M72" s="2" t="s">
        <v>724</v>
      </c>
      <c r="O72" s="2" t="s">
        <v>725</v>
      </c>
      <c r="P72" s="2" t="s">
        <v>37</v>
      </c>
      <c r="R72" s="2" t="s">
        <v>726</v>
      </c>
      <c r="T72" s="2" t="s">
        <v>202</v>
      </c>
      <c r="X72" s="2" t="n">
        <v>124</v>
      </c>
      <c r="Y72" s="2" t="s">
        <v>721</v>
      </c>
      <c r="Z72" s="3" t="s">
        <v>727</v>
      </c>
    </row>
    <row r="73" customFormat="false" ht="13.8" hidden="false" customHeight="false" outlineLevel="0" collapsed="false">
      <c r="A73" s="0" t="str">
        <f aca="false">CONCATENATE("__import__.res_partner_",C73)</f>
        <v>__import__.res_partner_20000000125</v>
      </c>
      <c r="B73" s="2" t="s">
        <v>728</v>
      </c>
      <c r="C73" s="3" t="s">
        <v>729</v>
      </c>
      <c r="D73" s="2" t="s">
        <v>730</v>
      </c>
      <c r="F73" s="2" t="s">
        <v>30</v>
      </c>
      <c r="G73" s="2" t="s">
        <v>31</v>
      </c>
      <c r="H73" s="2" t="s">
        <v>32</v>
      </c>
      <c r="K73" s="2" t="s">
        <v>731</v>
      </c>
      <c r="L73" s="3" t="s">
        <v>732</v>
      </c>
      <c r="M73" s="2" t="s">
        <v>733</v>
      </c>
      <c r="O73" s="2" t="s">
        <v>36</v>
      </c>
      <c r="P73" s="2" t="s">
        <v>37</v>
      </c>
      <c r="R73" s="2" t="s">
        <v>734</v>
      </c>
      <c r="T73" s="2" t="s">
        <v>64</v>
      </c>
      <c r="X73" s="2" t="n">
        <v>125</v>
      </c>
      <c r="Y73" s="2" t="s">
        <v>730</v>
      </c>
      <c r="Z73" s="3" t="s">
        <v>735</v>
      </c>
    </row>
    <row r="74" customFormat="false" ht="13.8" hidden="false" customHeight="false" outlineLevel="0" collapsed="false">
      <c r="A74" s="0" t="str">
        <f aca="false">CONCATENATE("__import__.res_partner_",C74)</f>
        <v>__import__.res_partner_20000000126</v>
      </c>
      <c r="B74" s="2" t="s">
        <v>736</v>
      </c>
      <c r="C74" s="3" t="s">
        <v>737</v>
      </c>
      <c r="D74" s="2" t="s">
        <v>738</v>
      </c>
      <c r="F74" s="2" t="s">
        <v>30</v>
      </c>
      <c r="G74" s="2" t="s">
        <v>31</v>
      </c>
      <c r="H74" s="2" t="s">
        <v>32</v>
      </c>
      <c r="K74" s="2" t="s">
        <v>739</v>
      </c>
      <c r="L74" s="3" t="s">
        <v>740</v>
      </c>
      <c r="M74" s="2" t="s">
        <v>741</v>
      </c>
      <c r="O74" s="2" t="s">
        <v>742</v>
      </c>
      <c r="P74" s="2" t="s">
        <v>37</v>
      </c>
      <c r="R74" s="2" t="s">
        <v>743</v>
      </c>
      <c r="T74" s="2" t="s">
        <v>108</v>
      </c>
      <c r="X74" s="2" t="n">
        <v>126</v>
      </c>
      <c r="Y74" s="2" t="s">
        <v>738</v>
      </c>
      <c r="Z74" s="3" t="s">
        <v>744</v>
      </c>
    </row>
    <row r="75" customFormat="false" ht="13.8" hidden="false" customHeight="false" outlineLevel="0" collapsed="false">
      <c r="A75" s="0" t="str">
        <f aca="false">CONCATENATE("__import__.res_partner_",C75)</f>
        <v>__import__.res_partner_20000000127</v>
      </c>
      <c r="B75" s="2" t="s">
        <v>745</v>
      </c>
      <c r="C75" s="3" t="s">
        <v>746</v>
      </c>
      <c r="D75" s="2" t="s">
        <v>747</v>
      </c>
      <c r="F75" s="2" t="s">
        <v>30</v>
      </c>
      <c r="G75" s="2" t="s">
        <v>31</v>
      </c>
      <c r="H75" s="2" t="s">
        <v>32</v>
      </c>
      <c r="K75" s="2" t="s">
        <v>748</v>
      </c>
      <c r="L75" s="3" t="s">
        <v>749</v>
      </c>
      <c r="M75" s="2" t="s">
        <v>750</v>
      </c>
      <c r="O75" s="2" t="s">
        <v>36</v>
      </c>
      <c r="P75" s="2" t="s">
        <v>37</v>
      </c>
      <c r="R75" s="2" t="s">
        <v>751</v>
      </c>
      <c r="T75" s="2" t="s">
        <v>157</v>
      </c>
      <c r="X75" s="2" t="n">
        <v>127</v>
      </c>
      <c r="Y75" s="2" t="s">
        <v>747</v>
      </c>
      <c r="Z75" s="3" t="s">
        <v>752</v>
      </c>
    </row>
    <row r="76" customFormat="false" ht="13.8" hidden="false" customHeight="false" outlineLevel="0" collapsed="false">
      <c r="A76" s="0" t="str">
        <f aca="false">CONCATENATE("__import__.res_partner_",C76)</f>
        <v>__import__.res_partner_20000000128</v>
      </c>
      <c r="B76" s="2" t="s">
        <v>753</v>
      </c>
      <c r="C76" s="3" t="s">
        <v>754</v>
      </c>
      <c r="D76" s="2" t="s">
        <v>755</v>
      </c>
      <c r="F76" s="2" t="s">
        <v>30</v>
      </c>
      <c r="G76" s="2" t="s">
        <v>31</v>
      </c>
      <c r="H76" s="2" t="s">
        <v>32</v>
      </c>
      <c r="K76" s="2" t="s">
        <v>756</v>
      </c>
      <c r="L76" s="3" t="s">
        <v>757</v>
      </c>
      <c r="M76" s="2" t="s">
        <v>758</v>
      </c>
      <c r="O76" s="2" t="s">
        <v>759</v>
      </c>
      <c r="P76" s="2" t="s">
        <v>37</v>
      </c>
      <c r="Q76" s="2" t="s">
        <v>760</v>
      </c>
      <c r="R76" s="2" t="s">
        <v>761</v>
      </c>
      <c r="T76" s="2" t="s">
        <v>64</v>
      </c>
      <c r="X76" s="2" t="n">
        <v>128</v>
      </c>
      <c r="Y76" s="2" t="s">
        <v>755</v>
      </c>
      <c r="Z76" s="3" t="s">
        <v>762</v>
      </c>
    </row>
    <row r="77" customFormat="false" ht="13.8" hidden="false" customHeight="false" outlineLevel="0" collapsed="false">
      <c r="A77" s="0" t="str">
        <f aca="false">CONCATENATE("__import__.res_partner_",C77)</f>
        <v>__import__.res_partner_20000000129</v>
      </c>
      <c r="B77" s="2" t="s">
        <v>763</v>
      </c>
      <c r="C77" s="3" t="s">
        <v>764</v>
      </c>
      <c r="D77" s="2" t="s">
        <v>765</v>
      </c>
      <c r="F77" s="2" t="s">
        <v>30</v>
      </c>
      <c r="G77" s="2" t="s">
        <v>31</v>
      </c>
      <c r="H77" s="2" t="s">
        <v>32</v>
      </c>
      <c r="K77" s="2" t="s">
        <v>766</v>
      </c>
      <c r="L77" s="3" t="s">
        <v>767</v>
      </c>
      <c r="M77" s="2" t="s">
        <v>768</v>
      </c>
      <c r="O77" s="2" t="s">
        <v>769</v>
      </c>
      <c r="P77" s="2" t="s">
        <v>37</v>
      </c>
      <c r="Q77" s="2" t="s">
        <v>770</v>
      </c>
      <c r="R77" s="2" t="s">
        <v>771</v>
      </c>
      <c r="T77" s="2" t="s">
        <v>697</v>
      </c>
      <c r="X77" s="2" t="n">
        <v>129</v>
      </c>
      <c r="Y77" s="2" t="s">
        <v>765</v>
      </c>
      <c r="Z77" s="3" t="s">
        <v>772</v>
      </c>
    </row>
    <row r="78" customFormat="false" ht="13.8" hidden="false" customHeight="false" outlineLevel="0" collapsed="false">
      <c r="A78" s="0" t="str">
        <f aca="false">CONCATENATE("__import__.res_partner_",C78)</f>
        <v>__import__.res_partner_20000000130</v>
      </c>
      <c r="B78" s="2" t="s">
        <v>773</v>
      </c>
      <c r="C78" s="3" t="s">
        <v>774</v>
      </c>
      <c r="D78" s="2" t="s">
        <v>775</v>
      </c>
      <c r="F78" s="2" t="s">
        <v>30</v>
      </c>
      <c r="G78" s="2" t="s">
        <v>31</v>
      </c>
      <c r="H78" s="2" t="s">
        <v>32</v>
      </c>
      <c r="K78" s="2" t="s">
        <v>776</v>
      </c>
      <c r="L78" s="3" t="s">
        <v>777</v>
      </c>
      <c r="M78" s="2" t="s">
        <v>778</v>
      </c>
      <c r="O78" s="2" t="s">
        <v>779</v>
      </c>
      <c r="P78" s="2" t="s">
        <v>37</v>
      </c>
      <c r="R78" s="2" t="s">
        <v>780</v>
      </c>
      <c r="T78" s="2" t="s">
        <v>40</v>
      </c>
      <c r="X78" s="2" t="n">
        <v>130</v>
      </c>
      <c r="Y78" s="2" t="s">
        <v>775</v>
      </c>
      <c r="Z78" s="3" t="s">
        <v>781</v>
      </c>
    </row>
    <row r="79" customFormat="false" ht="27.75" hidden="false" customHeight="false" outlineLevel="0" collapsed="false">
      <c r="A79" s="0" t="str">
        <f aca="false">CONCATENATE("__import__.res_partner_",C79)</f>
        <v>__import__.res_partner_20000000132</v>
      </c>
      <c r="B79" s="2" t="s">
        <v>782</v>
      </c>
      <c r="C79" s="3" t="s">
        <v>783</v>
      </c>
      <c r="D79" s="2" t="s">
        <v>784</v>
      </c>
      <c r="F79" s="2" t="s">
        <v>30</v>
      </c>
      <c r="G79" s="2" t="s">
        <v>31</v>
      </c>
      <c r="H79" s="2" t="s">
        <v>32</v>
      </c>
      <c r="K79" s="2" t="s">
        <v>785</v>
      </c>
      <c r="L79" s="3" t="s">
        <v>786</v>
      </c>
      <c r="M79" s="2" t="s">
        <v>787</v>
      </c>
      <c r="O79" s="2" t="s">
        <v>788</v>
      </c>
      <c r="P79" s="2" t="s">
        <v>37</v>
      </c>
      <c r="Q79" s="2" t="s">
        <v>789</v>
      </c>
      <c r="R79" s="2" t="s">
        <v>790</v>
      </c>
      <c r="T79" s="2" t="s">
        <v>40</v>
      </c>
      <c r="X79" s="2" t="n">
        <v>132</v>
      </c>
      <c r="Y79" s="2" t="s">
        <v>784</v>
      </c>
      <c r="Z79" s="3" t="s">
        <v>791</v>
      </c>
      <c r="AA79" s="4" t="s">
        <v>792</v>
      </c>
    </row>
    <row r="80" customFormat="false" ht="13.8" hidden="false" customHeight="false" outlineLevel="0" collapsed="false">
      <c r="A80" s="0" t="str">
        <f aca="false">CONCATENATE("__import__.res_partner_",C80)</f>
        <v>__import__.res_partner_20000000133</v>
      </c>
      <c r="B80" s="2" t="s">
        <v>793</v>
      </c>
      <c r="C80" s="3" t="s">
        <v>794</v>
      </c>
      <c r="D80" s="2" t="s">
        <v>795</v>
      </c>
      <c r="F80" s="2" t="s">
        <v>30</v>
      </c>
      <c r="G80" s="2" t="s">
        <v>31</v>
      </c>
      <c r="H80" s="2" t="s">
        <v>32</v>
      </c>
      <c r="K80" s="2" t="s">
        <v>796</v>
      </c>
      <c r="L80" s="3" t="s">
        <v>797</v>
      </c>
      <c r="M80" s="2" t="s">
        <v>798</v>
      </c>
      <c r="O80" s="2" t="s">
        <v>799</v>
      </c>
      <c r="P80" s="2" t="s">
        <v>37</v>
      </c>
      <c r="Q80" s="2" t="s">
        <v>800</v>
      </c>
      <c r="R80" s="2" t="s">
        <v>801</v>
      </c>
      <c r="T80" s="2" t="s">
        <v>64</v>
      </c>
      <c r="X80" s="2" t="n">
        <v>133</v>
      </c>
      <c r="Y80" s="2" t="s">
        <v>795</v>
      </c>
      <c r="Z80" s="3" t="s">
        <v>802</v>
      </c>
    </row>
    <row r="81" customFormat="false" ht="13.8" hidden="false" customHeight="false" outlineLevel="0" collapsed="false">
      <c r="A81" s="0" t="str">
        <f aca="false">CONCATENATE("__import__.res_partner_",C81)</f>
        <v>__import__.res_partner_20000000134</v>
      </c>
      <c r="B81" s="2" t="s">
        <v>803</v>
      </c>
      <c r="C81" s="3" t="s">
        <v>804</v>
      </c>
      <c r="D81" s="2" t="s">
        <v>805</v>
      </c>
      <c r="F81" s="2" t="s">
        <v>30</v>
      </c>
      <c r="G81" s="2" t="s">
        <v>31</v>
      </c>
      <c r="H81" s="2" t="s">
        <v>32</v>
      </c>
      <c r="K81" s="2" t="s">
        <v>806</v>
      </c>
      <c r="L81" s="3" t="s">
        <v>280</v>
      </c>
      <c r="M81" s="2" t="s">
        <v>807</v>
      </c>
      <c r="O81" s="2" t="s">
        <v>325</v>
      </c>
      <c r="P81" s="2" t="s">
        <v>37</v>
      </c>
      <c r="Q81" s="2" t="s">
        <v>512</v>
      </c>
      <c r="R81" s="2" t="s">
        <v>808</v>
      </c>
      <c r="T81" s="2" t="s">
        <v>40</v>
      </c>
      <c r="X81" s="2" t="n">
        <v>134</v>
      </c>
      <c r="Y81" s="2" t="s">
        <v>805</v>
      </c>
      <c r="Z81" s="3" t="s">
        <v>809</v>
      </c>
      <c r="AA81" s="2" t="s">
        <v>810</v>
      </c>
    </row>
    <row r="82" customFormat="false" ht="28.5" hidden="false" customHeight="false" outlineLevel="0" collapsed="false">
      <c r="A82" s="0" t="str">
        <f aca="false">CONCATENATE("__import__.res_partner_",C82)</f>
        <v>__import__.res_partner_20000000136</v>
      </c>
      <c r="B82" s="2" t="s">
        <v>811</v>
      </c>
      <c r="C82" s="3" t="s">
        <v>812</v>
      </c>
      <c r="D82" s="2" t="s">
        <v>813</v>
      </c>
      <c r="F82" s="2" t="s">
        <v>30</v>
      </c>
      <c r="G82" s="2" t="s">
        <v>31</v>
      </c>
      <c r="H82" s="2" t="s">
        <v>32</v>
      </c>
      <c r="K82" s="2" t="s">
        <v>814</v>
      </c>
      <c r="L82" s="3" t="s">
        <v>815</v>
      </c>
      <c r="M82" s="2" t="s">
        <v>816</v>
      </c>
      <c r="O82" s="2" t="s">
        <v>817</v>
      </c>
      <c r="P82" s="2" t="s">
        <v>37</v>
      </c>
      <c r="Q82" s="2" t="s">
        <v>338</v>
      </c>
      <c r="R82" s="2" t="s">
        <v>818</v>
      </c>
      <c r="T82" s="2" t="s">
        <v>64</v>
      </c>
      <c r="X82" s="2" t="n">
        <v>136</v>
      </c>
      <c r="Y82" s="2" t="s">
        <v>813</v>
      </c>
      <c r="Z82" s="3" t="s">
        <v>819</v>
      </c>
      <c r="AA82" s="4" t="s">
        <v>820</v>
      </c>
    </row>
    <row r="83" customFormat="false" ht="13.8" hidden="false" customHeight="false" outlineLevel="0" collapsed="false">
      <c r="A83" s="0" t="str">
        <f aca="false">CONCATENATE("__import__.res_partner_",C83)</f>
        <v>__import__.res_partner_20000000137</v>
      </c>
      <c r="B83" s="2" t="s">
        <v>821</v>
      </c>
      <c r="C83" s="3" t="s">
        <v>822</v>
      </c>
      <c r="D83" s="2" t="s">
        <v>823</v>
      </c>
      <c r="F83" s="2" t="s">
        <v>30</v>
      </c>
      <c r="G83" s="2" t="s">
        <v>31</v>
      </c>
      <c r="H83" s="2" t="s">
        <v>32</v>
      </c>
      <c r="K83" s="2" t="s">
        <v>824</v>
      </c>
      <c r="L83" s="3" t="s">
        <v>825</v>
      </c>
      <c r="M83" s="2" t="s">
        <v>826</v>
      </c>
      <c r="O83" s="2" t="s">
        <v>827</v>
      </c>
      <c r="P83" s="2" t="s">
        <v>37</v>
      </c>
      <c r="R83" s="2" t="s">
        <v>828</v>
      </c>
      <c r="T83" s="2" t="s">
        <v>202</v>
      </c>
      <c r="X83" s="2" t="n">
        <v>137</v>
      </c>
      <c r="Y83" s="2" t="s">
        <v>823</v>
      </c>
      <c r="Z83" s="3" t="s">
        <v>829</v>
      </c>
    </row>
    <row r="84" customFormat="false" ht="13.8" hidden="false" customHeight="false" outlineLevel="0" collapsed="false">
      <c r="A84" s="0" t="str">
        <f aca="false">CONCATENATE("__import__.res_partner_",C84)</f>
        <v>__import__.res_partner_20000000138</v>
      </c>
      <c r="B84" s="2" t="s">
        <v>830</v>
      </c>
      <c r="C84" s="3" t="s">
        <v>831</v>
      </c>
      <c r="D84" s="2" t="s">
        <v>832</v>
      </c>
      <c r="F84" s="2" t="s">
        <v>30</v>
      </c>
      <c r="G84" s="2" t="s">
        <v>31</v>
      </c>
      <c r="H84" s="2" t="s">
        <v>32</v>
      </c>
      <c r="K84" s="2" t="s">
        <v>833</v>
      </c>
      <c r="L84" s="3" t="s">
        <v>786</v>
      </c>
      <c r="M84" s="2" t="s">
        <v>834</v>
      </c>
      <c r="O84" s="2" t="s">
        <v>788</v>
      </c>
      <c r="P84" s="2" t="s">
        <v>37</v>
      </c>
      <c r="R84" s="2" t="s">
        <v>835</v>
      </c>
      <c r="T84" s="2" t="s">
        <v>108</v>
      </c>
      <c r="X84" s="2" t="n">
        <v>138</v>
      </c>
      <c r="Y84" s="2" t="s">
        <v>832</v>
      </c>
      <c r="Z84" s="3" t="s">
        <v>836</v>
      </c>
    </row>
    <row r="85" customFormat="false" ht="13.8" hidden="false" customHeight="false" outlineLevel="0" collapsed="false">
      <c r="A85" s="0" t="str">
        <f aca="false">CONCATENATE("__import__.res_partner_",C85)</f>
        <v>__import__.res_partner_20000000139</v>
      </c>
      <c r="B85" s="2" t="s">
        <v>837</v>
      </c>
      <c r="C85" s="3" t="s">
        <v>838</v>
      </c>
      <c r="D85" s="2" t="s">
        <v>839</v>
      </c>
      <c r="F85" s="2" t="s">
        <v>30</v>
      </c>
      <c r="G85" s="2" t="s">
        <v>31</v>
      </c>
      <c r="H85" s="2" t="s">
        <v>32</v>
      </c>
      <c r="K85" s="2" t="s">
        <v>840</v>
      </c>
      <c r="L85" s="3" t="s">
        <v>841</v>
      </c>
      <c r="M85" s="2" t="s">
        <v>842</v>
      </c>
      <c r="O85" s="2" t="s">
        <v>827</v>
      </c>
      <c r="P85" s="2" t="s">
        <v>37</v>
      </c>
      <c r="Q85" s="2" t="s">
        <v>843</v>
      </c>
      <c r="R85" s="3" t="s">
        <v>844</v>
      </c>
      <c r="T85" s="2" t="s">
        <v>157</v>
      </c>
      <c r="X85" s="2" t="n">
        <v>139</v>
      </c>
      <c r="Y85" s="2" t="s">
        <v>839</v>
      </c>
      <c r="Z85" s="3" t="s">
        <v>845</v>
      </c>
    </row>
    <row r="86" customFormat="false" ht="13.8" hidden="false" customHeight="false" outlineLevel="0" collapsed="false">
      <c r="A86" s="0" t="str">
        <f aca="false">CONCATENATE("__import__.res_partner_",C86)</f>
        <v>__import__.res_partner_20000000140</v>
      </c>
      <c r="B86" s="2" t="s">
        <v>846</v>
      </c>
      <c r="C86" s="3" t="s">
        <v>847</v>
      </c>
      <c r="D86" s="2" t="s">
        <v>848</v>
      </c>
      <c r="F86" s="2" t="s">
        <v>30</v>
      </c>
      <c r="G86" s="2" t="s">
        <v>31</v>
      </c>
      <c r="H86" s="2" t="s">
        <v>32</v>
      </c>
      <c r="K86" s="2" t="s">
        <v>849</v>
      </c>
      <c r="L86" s="3" t="s">
        <v>355</v>
      </c>
      <c r="M86" s="2" t="s">
        <v>850</v>
      </c>
      <c r="O86" s="2" t="s">
        <v>36</v>
      </c>
      <c r="P86" s="2" t="s">
        <v>37</v>
      </c>
      <c r="Q86" s="2" t="s">
        <v>851</v>
      </c>
      <c r="R86" s="2" t="s">
        <v>852</v>
      </c>
      <c r="T86" s="2" t="s">
        <v>64</v>
      </c>
      <c r="X86" s="2" t="n">
        <v>140</v>
      </c>
      <c r="Y86" s="2" t="s">
        <v>848</v>
      </c>
      <c r="Z86" s="3" t="s">
        <v>853</v>
      </c>
      <c r="AA86" s="2" t="s">
        <v>800</v>
      </c>
    </row>
    <row r="87" customFormat="false" ht="13.8" hidden="false" customHeight="false" outlineLevel="0" collapsed="false">
      <c r="A87" s="0" t="str">
        <f aca="false">CONCATENATE("__import__.res_partner_",C87)</f>
        <v>__import__.res_partner_20000000141</v>
      </c>
      <c r="B87" s="2" t="s">
        <v>854</v>
      </c>
      <c r="C87" s="3" t="s">
        <v>855</v>
      </c>
      <c r="D87" s="2" t="s">
        <v>856</v>
      </c>
      <c r="F87" s="2" t="s">
        <v>30</v>
      </c>
      <c r="G87" s="2" t="s">
        <v>31</v>
      </c>
      <c r="H87" s="2" t="s">
        <v>32</v>
      </c>
      <c r="K87" s="2" t="s">
        <v>857</v>
      </c>
      <c r="L87" s="3" t="s">
        <v>59</v>
      </c>
      <c r="M87" s="2" t="s">
        <v>858</v>
      </c>
      <c r="O87" s="2" t="s">
        <v>61</v>
      </c>
      <c r="P87" s="2" t="s">
        <v>37</v>
      </c>
      <c r="Q87" s="2" t="s">
        <v>859</v>
      </c>
      <c r="R87" s="3" t="s">
        <v>860</v>
      </c>
      <c r="T87" s="2" t="s">
        <v>40</v>
      </c>
      <c r="X87" s="2" t="n">
        <v>141</v>
      </c>
      <c r="Y87" s="2" t="s">
        <v>861</v>
      </c>
      <c r="Z87" s="3" t="s">
        <v>862</v>
      </c>
      <c r="AA87" s="2" t="s">
        <v>863</v>
      </c>
    </row>
    <row r="88" customFormat="false" ht="13.8" hidden="false" customHeight="false" outlineLevel="0" collapsed="false">
      <c r="A88" s="0" t="str">
        <f aca="false">CONCATENATE("__import__.res_partner_",C88)</f>
        <v>__import__.res_partner_20000000142</v>
      </c>
      <c r="B88" s="2" t="s">
        <v>864</v>
      </c>
      <c r="C88" s="3" t="s">
        <v>865</v>
      </c>
      <c r="D88" s="2" t="s">
        <v>866</v>
      </c>
      <c r="F88" s="2" t="s">
        <v>30</v>
      </c>
      <c r="G88" s="2" t="s">
        <v>31</v>
      </c>
      <c r="H88" s="2" t="s">
        <v>32</v>
      </c>
      <c r="K88" s="2" t="s">
        <v>867</v>
      </c>
      <c r="L88" s="3" t="s">
        <v>868</v>
      </c>
      <c r="M88" s="2" t="s">
        <v>869</v>
      </c>
      <c r="O88" s="2" t="s">
        <v>870</v>
      </c>
      <c r="P88" s="2" t="s">
        <v>37</v>
      </c>
      <c r="R88" s="2" t="s">
        <v>871</v>
      </c>
      <c r="T88" s="2" t="s">
        <v>108</v>
      </c>
      <c r="X88" s="2" t="n">
        <v>142</v>
      </c>
      <c r="Y88" s="2" t="s">
        <v>866</v>
      </c>
      <c r="Z88" s="3" t="s">
        <v>872</v>
      </c>
    </row>
    <row r="89" customFormat="false" ht="13.8" hidden="false" customHeight="false" outlineLevel="0" collapsed="false">
      <c r="A89" s="0" t="str">
        <f aca="false">CONCATENATE("__import__.res_partner_",C89)</f>
        <v>__import__.res_partner_20000000145</v>
      </c>
      <c r="B89" s="2" t="s">
        <v>873</v>
      </c>
      <c r="C89" s="3" t="s">
        <v>874</v>
      </c>
      <c r="D89" s="2" t="s">
        <v>875</v>
      </c>
      <c r="F89" s="2" t="s">
        <v>30</v>
      </c>
      <c r="G89" s="2" t="s">
        <v>31</v>
      </c>
      <c r="H89" s="2" t="s">
        <v>32</v>
      </c>
      <c r="K89" s="2" t="s">
        <v>876</v>
      </c>
      <c r="L89" s="3" t="s">
        <v>877</v>
      </c>
      <c r="M89" s="2" t="s">
        <v>878</v>
      </c>
      <c r="O89" s="2" t="s">
        <v>261</v>
      </c>
      <c r="P89" s="2" t="s">
        <v>37</v>
      </c>
      <c r="R89" s="2" t="s">
        <v>879</v>
      </c>
      <c r="T89" s="2" t="s">
        <v>880</v>
      </c>
      <c r="X89" s="2" t="n">
        <v>145</v>
      </c>
      <c r="Y89" s="2" t="s">
        <v>875</v>
      </c>
      <c r="Z89" s="3" t="s">
        <v>881</v>
      </c>
    </row>
    <row r="90" customFormat="false" ht="13.8" hidden="false" customHeight="false" outlineLevel="0" collapsed="false">
      <c r="A90" s="0" t="str">
        <f aca="false">CONCATENATE("__import__.res_partner_",C90)</f>
        <v>__import__.res_partner_20000000146</v>
      </c>
      <c r="B90" s="2" t="s">
        <v>882</v>
      </c>
      <c r="C90" s="3" t="s">
        <v>883</v>
      </c>
      <c r="D90" s="2" t="s">
        <v>884</v>
      </c>
      <c r="F90" s="2" t="s">
        <v>30</v>
      </c>
      <c r="G90" s="2" t="s">
        <v>31</v>
      </c>
      <c r="H90" s="2" t="s">
        <v>32</v>
      </c>
      <c r="K90" s="2" t="s">
        <v>885</v>
      </c>
      <c r="L90" s="3" t="s">
        <v>198</v>
      </c>
      <c r="M90" s="2" t="s">
        <v>886</v>
      </c>
      <c r="O90" s="2" t="s">
        <v>49</v>
      </c>
      <c r="P90" s="2" t="s">
        <v>37</v>
      </c>
      <c r="Q90" s="2" t="s">
        <v>887</v>
      </c>
      <c r="R90" s="2" t="s">
        <v>888</v>
      </c>
      <c r="T90" s="2" t="s">
        <v>40</v>
      </c>
      <c r="X90" s="2" t="n">
        <v>146</v>
      </c>
      <c r="Y90" s="2" t="s">
        <v>884</v>
      </c>
      <c r="Z90" s="3" t="s">
        <v>889</v>
      </c>
    </row>
    <row r="91" customFormat="false" ht="13.8" hidden="false" customHeight="false" outlineLevel="0" collapsed="false">
      <c r="A91" s="0" t="str">
        <f aca="false">CONCATENATE("__import__.res_partner_",C91)</f>
        <v>__import__.res_partner_20000000147</v>
      </c>
      <c r="B91" s="2" t="s">
        <v>890</v>
      </c>
      <c r="C91" s="3" t="s">
        <v>891</v>
      </c>
      <c r="D91" s="2" t="s">
        <v>892</v>
      </c>
      <c r="F91" s="2" t="s">
        <v>30</v>
      </c>
      <c r="G91" s="2" t="s">
        <v>31</v>
      </c>
      <c r="H91" s="2" t="s">
        <v>32</v>
      </c>
      <c r="K91" s="2" t="s">
        <v>893</v>
      </c>
      <c r="L91" s="3" t="s">
        <v>786</v>
      </c>
      <c r="M91" s="2" t="s">
        <v>894</v>
      </c>
      <c r="O91" s="2" t="s">
        <v>895</v>
      </c>
      <c r="P91" s="2" t="s">
        <v>37</v>
      </c>
      <c r="R91" s="2" t="s">
        <v>896</v>
      </c>
      <c r="T91" s="2" t="s">
        <v>108</v>
      </c>
      <c r="X91" s="2" t="n">
        <v>147</v>
      </c>
      <c r="Y91" s="2" t="s">
        <v>892</v>
      </c>
      <c r="Z91" s="3" t="s">
        <v>897</v>
      </c>
    </row>
    <row r="92" customFormat="false" ht="13.8" hidden="false" customHeight="false" outlineLevel="0" collapsed="false">
      <c r="A92" s="0" t="str">
        <f aca="false">CONCATENATE("__import__.res_partner_",C92)</f>
        <v>__import__.res_partner_20000000148</v>
      </c>
      <c r="B92" s="2" t="s">
        <v>898</v>
      </c>
      <c r="C92" s="3" t="s">
        <v>899</v>
      </c>
      <c r="D92" s="2" t="s">
        <v>900</v>
      </c>
      <c r="F92" s="2" t="s">
        <v>30</v>
      </c>
      <c r="G92" s="2" t="s">
        <v>31</v>
      </c>
      <c r="H92" s="2" t="s">
        <v>32</v>
      </c>
      <c r="K92" s="2" t="s">
        <v>901</v>
      </c>
      <c r="L92" s="3" t="s">
        <v>902</v>
      </c>
      <c r="M92" s="2" t="s">
        <v>903</v>
      </c>
      <c r="O92" s="2" t="s">
        <v>904</v>
      </c>
      <c r="P92" s="2" t="s">
        <v>37</v>
      </c>
      <c r="R92" s="2" t="s">
        <v>905</v>
      </c>
      <c r="T92" s="2" t="s">
        <v>202</v>
      </c>
      <c r="X92" s="2" t="n">
        <v>148</v>
      </c>
      <c r="Y92" s="2" t="s">
        <v>900</v>
      </c>
      <c r="Z92" s="3" t="s">
        <v>906</v>
      </c>
    </row>
    <row r="93" customFormat="false" ht="13.8" hidden="false" customHeight="false" outlineLevel="0" collapsed="false">
      <c r="A93" s="0" t="str">
        <f aca="false">CONCATENATE("__import__.res_partner_",C93)</f>
        <v>__import__.res_partner_20000000149</v>
      </c>
      <c r="B93" s="2" t="s">
        <v>907</v>
      </c>
      <c r="C93" s="3" t="s">
        <v>908</v>
      </c>
      <c r="D93" s="2" t="s">
        <v>909</v>
      </c>
      <c r="F93" s="2" t="s">
        <v>30</v>
      </c>
      <c r="G93" s="2" t="s">
        <v>31</v>
      </c>
      <c r="H93" s="2" t="s">
        <v>32</v>
      </c>
      <c r="K93" s="2" t="s">
        <v>910</v>
      </c>
      <c r="L93" s="3" t="s">
        <v>911</v>
      </c>
      <c r="M93" s="2" t="s">
        <v>912</v>
      </c>
      <c r="O93" s="2" t="s">
        <v>913</v>
      </c>
      <c r="P93" s="2" t="s">
        <v>37</v>
      </c>
      <c r="R93" s="2" t="s">
        <v>914</v>
      </c>
      <c r="T93" s="2" t="s">
        <v>202</v>
      </c>
      <c r="X93" s="2" t="n">
        <v>149</v>
      </c>
      <c r="Y93" s="2" t="s">
        <v>909</v>
      </c>
      <c r="Z93" s="3" t="s">
        <v>915</v>
      </c>
    </row>
    <row r="94" customFormat="false" ht="13.8" hidden="false" customHeight="false" outlineLevel="0" collapsed="false">
      <c r="A94" s="0" t="str">
        <f aca="false">CONCATENATE("__import__.res_partner_",C94)</f>
        <v>__import__.res_partner_20000000151</v>
      </c>
      <c r="B94" s="2" t="s">
        <v>916</v>
      </c>
      <c r="C94" s="3" t="s">
        <v>917</v>
      </c>
      <c r="D94" s="2" t="s">
        <v>918</v>
      </c>
      <c r="F94" s="2" t="s">
        <v>30</v>
      </c>
      <c r="G94" s="2" t="s">
        <v>31</v>
      </c>
      <c r="H94" s="2" t="s">
        <v>32</v>
      </c>
      <c r="K94" s="2" t="s">
        <v>919</v>
      </c>
      <c r="L94" s="3" t="s">
        <v>920</v>
      </c>
      <c r="M94" s="2" t="s">
        <v>921</v>
      </c>
      <c r="O94" s="2" t="s">
        <v>922</v>
      </c>
      <c r="P94" s="2" t="s">
        <v>37</v>
      </c>
      <c r="Q94" s="2" t="s">
        <v>923</v>
      </c>
      <c r="R94" s="2" t="s">
        <v>924</v>
      </c>
      <c r="T94" s="2" t="s">
        <v>64</v>
      </c>
      <c r="X94" s="2" t="n">
        <v>151</v>
      </c>
      <c r="Y94" s="2" t="s">
        <v>918</v>
      </c>
      <c r="Z94" s="3" t="s">
        <v>925</v>
      </c>
    </row>
    <row r="95" customFormat="false" ht="13.8" hidden="false" customHeight="false" outlineLevel="0" collapsed="false">
      <c r="A95" s="0" t="str">
        <f aca="false">CONCATENATE("__import__.res_partner_",C95)</f>
        <v>__import__.res_partner_20000000152</v>
      </c>
      <c r="B95" s="2" t="s">
        <v>926</v>
      </c>
      <c r="C95" s="3" t="s">
        <v>927</v>
      </c>
      <c r="D95" s="2" t="s">
        <v>928</v>
      </c>
      <c r="F95" s="2" t="s">
        <v>30</v>
      </c>
      <c r="G95" s="2" t="s">
        <v>31</v>
      </c>
      <c r="H95" s="2" t="s">
        <v>32</v>
      </c>
      <c r="K95" s="2" t="s">
        <v>929</v>
      </c>
      <c r="L95" s="3" t="s">
        <v>930</v>
      </c>
      <c r="M95" s="2" t="s">
        <v>931</v>
      </c>
      <c r="O95" s="2" t="s">
        <v>932</v>
      </c>
      <c r="P95" s="2" t="s">
        <v>37</v>
      </c>
      <c r="Q95" s="2" t="s">
        <v>933</v>
      </c>
      <c r="R95" s="3" t="s">
        <v>934</v>
      </c>
      <c r="T95" s="2" t="s">
        <v>40</v>
      </c>
      <c r="X95" s="2" t="n">
        <v>152</v>
      </c>
      <c r="Y95" s="2" t="s">
        <v>928</v>
      </c>
      <c r="Z95" s="3" t="s">
        <v>935</v>
      </c>
      <c r="AA95" s="2" t="s">
        <v>936</v>
      </c>
    </row>
    <row r="96" customFormat="false" ht="13.8" hidden="false" customHeight="false" outlineLevel="0" collapsed="false">
      <c r="A96" s="0" t="str">
        <f aca="false">CONCATENATE("__import__.res_partner_",C96)</f>
        <v>__import__.res_partner_20000000154</v>
      </c>
      <c r="B96" s="2" t="s">
        <v>937</v>
      </c>
      <c r="C96" s="3" t="s">
        <v>938</v>
      </c>
      <c r="D96" s="2" t="s">
        <v>939</v>
      </c>
      <c r="F96" s="2" t="s">
        <v>30</v>
      </c>
      <c r="G96" s="2" t="s">
        <v>31</v>
      </c>
      <c r="H96" s="2" t="s">
        <v>32</v>
      </c>
      <c r="K96" s="2" t="s">
        <v>940</v>
      </c>
      <c r="L96" s="3" t="s">
        <v>941</v>
      </c>
      <c r="M96" s="2" t="s">
        <v>942</v>
      </c>
      <c r="O96" s="2" t="s">
        <v>366</v>
      </c>
      <c r="P96" s="2" t="s">
        <v>37</v>
      </c>
      <c r="R96" s="2" t="s">
        <v>943</v>
      </c>
      <c r="T96" s="2" t="s">
        <v>202</v>
      </c>
      <c r="X96" s="2" t="n">
        <v>154</v>
      </c>
      <c r="Y96" s="2" t="s">
        <v>939</v>
      </c>
      <c r="Z96" s="3" t="s">
        <v>944</v>
      </c>
    </row>
    <row r="97" customFormat="false" ht="13.8" hidden="false" customHeight="false" outlineLevel="0" collapsed="false">
      <c r="A97" s="0" t="str">
        <f aca="false">CONCATENATE("__import__.res_partner_",C97)</f>
        <v>__import__.res_partner_20000000155</v>
      </c>
      <c r="B97" s="2" t="s">
        <v>945</v>
      </c>
      <c r="C97" s="3" t="s">
        <v>946</v>
      </c>
      <c r="D97" s="2" t="s">
        <v>947</v>
      </c>
      <c r="F97" s="2" t="s">
        <v>30</v>
      </c>
      <c r="G97" s="2" t="s">
        <v>31</v>
      </c>
      <c r="H97" s="2" t="s">
        <v>32</v>
      </c>
      <c r="K97" s="2" t="s">
        <v>948</v>
      </c>
      <c r="L97" s="3" t="s">
        <v>316</v>
      </c>
      <c r="M97" s="2" t="s">
        <v>949</v>
      </c>
      <c r="O97" s="2" t="s">
        <v>36</v>
      </c>
      <c r="P97" s="2" t="s">
        <v>37</v>
      </c>
      <c r="R97" s="3" t="s">
        <v>950</v>
      </c>
      <c r="T97" s="2" t="s">
        <v>202</v>
      </c>
      <c r="X97" s="2" t="n">
        <v>155</v>
      </c>
      <c r="Y97" s="2" t="s">
        <v>947</v>
      </c>
      <c r="Z97" s="3" t="s">
        <v>951</v>
      </c>
    </row>
    <row r="98" customFormat="false" ht="27.75" hidden="false" customHeight="false" outlineLevel="0" collapsed="false">
      <c r="A98" s="0" t="str">
        <f aca="false">CONCATENATE("__import__.res_partner_",C98)</f>
        <v>__import__.res_partner_20000000156</v>
      </c>
      <c r="B98" s="2" t="s">
        <v>952</v>
      </c>
      <c r="C98" s="3" t="s">
        <v>953</v>
      </c>
      <c r="D98" s="2" t="s">
        <v>954</v>
      </c>
      <c r="F98" s="2" t="s">
        <v>30</v>
      </c>
      <c r="G98" s="2" t="s">
        <v>31</v>
      </c>
      <c r="H98" s="2" t="s">
        <v>32</v>
      </c>
      <c r="K98" s="2" t="s">
        <v>955</v>
      </c>
      <c r="L98" s="3" t="s">
        <v>641</v>
      </c>
      <c r="M98" s="2" t="s">
        <v>956</v>
      </c>
      <c r="O98" s="2" t="s">
        <v>643</v>
      </c>
      <c r="P98" s="2" t="s">
        <v>37</v>
      </c>
      <c r="Q98" s="2" t="s">
        <v>957</v>
      </c>
      <c r="R98" s="2" t="s">
        <v>958</v>
      </c>
      <c r="T98" s="2" t="s">
        <v>959</v>
      </c>
      <c r="X98" s="2" t="n">
        <v>156</v>
      </c>
      <c r="Y98" s="2" t="s">
        <v>954</v>
      </c>
      <c r="Z98" s="3" t="s">
        <v>960</v>
      </c>
      <c r="AA98" s="5" t="s">
        <v>961</v>
      </c>
    </row>
    <row r="99" customFormat="false" ht="13.8" hidden="false" customHeight="false" outlineLevel="0" collapsed="false">
      <c r="A99" s="0" t="str">
        <f aca="false">CONCATENATE("__import__.res_partner_",C99)</f>
        <v>__import__.res_partner_20000000157</v>
      </c>
      <c r="B99" s="2" t="s">
        <v>962</v>
      </c>
      <c r="C99" s="3" t="s">
        <v>963</v>
      </c>
      <c r="D99" s="2" t="s">
        <v>964</v>
      </c>
      <c r="F99" s="2" t="s">
        <v>30</v>
      </c>
      <c r="G99" s="2" t="s">
        <v>31</v>
      </c>
      <c r="H99" s="2" t="s">
        <v>32</v>
      </c>
      <c r="K99" s="2" t="s">
        <v>965</v>
      </c>
      <c r="L99" s="3" t="s">
        <v>966</v>
      </c>
      <c r="M99" s="2" t="s">
        <v>967</v>
      </c>
      <c r="O99" s="2" t="s">
        <v>968</v>
      </c>
      <c r="P99" s="2" t="s">
        <v>37</v>
      </c>
      <c r="Q99" s="2" t="s">
        <v>969</v>
      </c>
      <c r="R99" s="3" t="s">
        <v>970</v>
      </c>
      <c r="T99" s="2" t="s">
        <v>64</v>
      </c>
      <c r="X99" s="2" t="n">
        <v>157</v>
      </c>
      <c r="Y99" s="2" t="s">
        <v>964</v>
      </c>
      <c r="Z99" s="3" t="s">
        <v>971</v>
      </c>
      <c r="AA99" s="2" t="s">
        <v>972</v>
      </c>
    </row>
    <row r="100" customFormat="false" ht="13.8" hidden="false" customHeight="false" outlineLevel="0" collapsed="false">
      <c r="A100" s="0" t="str">
        <f aca="false">CONCATENATE("__import__.res_partner_",C100)</f>
        <v>__import__.res_partner_20000000158</v>
      </c>
      <c r="B100" s="2" t="s">
        <v>973</v>
      </c>
      <c r="C100" s="3" t="s">
        <v>974</v>
      </c>
      <c r="D100" s="2" t="s">
        <v>975</v>
      </c>
      <c r="F100" s="2" t="s">
        <v>30</v>
      </c>
      <c r="G100" s="2" t="s">
        <v>31</v>
      </c>
      <c r="H100" s="2" t="s">
        <v>32</v>
      </c>
      <c r="K100" s="2" t="s">
        <v>976</v>
      </c>
      <c r="L100" s="3" t="s">
        <v>977</v>
      </c>
      <c r="M100" s="2" t="s">
        <v>978</v>
      </c>
      <c r="O100" s="2" t="s">
        <v>904</v>
      </c>
      <c r="P100" s="2" t="s">
        <v>37</v>
      </c>
      <c r="R100" s="2" t="s">
        <v>979</v>
      </c>
      <c r="T100" s="2" t="s">
        <v>202</v>
      </c>
      <c r="X100" s="2" t="n">
        <v>158</v>
      </c>
      <c r="Y100" s="2" t="s">
        <v>975</v>
      </c>
      <c r="Z100" s="3" t="s">
        <v>980</v>
      </c>
    </row>
    <row r="101" customFormat="false" ht="13.8" hidden="false" customHeight="false" outlineLevel="0" collapsed="false">
      <c r="A101" s="0" t="str">
        <f aca="false">CONCATENATE("__import__.res_partner_",C101)</f>
        <v>__import__.res_partner_20000000159</v>
      </c>
      <c r="B101" s="2" t="s">
        <v>981</v>
      </c>
      <c r="C101" s="3" t="s">
        <v>982</v>
      </c>
      <c r="D101" s="2" t="s">
        <v>983</v>
      </c>
      <c r="F101" s="2" t="s">
        <v>30</v>
      </c>
      <c r="G101" s="2" t="s">
        <v>31</v>
      </c>
      <c r="H101" s="2" t="s">
        <v>32</v>
      </c>
      <c r="K101" s="2" t="s">
        <v>984</v>
      </c>
      <c r="L101" s="3" t="s">
        <v>985</v>
      </c>
      <c r="M101" s="2" t="s">
        <v>986</v>
      </c>
      <c r="O101" s="2" t="s">
        <v>49</v>
      </c>
      <c r="P101" s="2" t="s">
        <v>37</v>
      </c>
      <c r="R101" s="2" t="s">
        <v>987</v>
      </c>
      <c r="T101" s="2" t="s">
        <v>108</v>
      </c>
      <c r="X101" s="2" t="n">
        <v>159</v>
      </c>
      <c r="Y101" s="2" t="s">
        <v>983</v>
      </c>
      <c r="Z101" s="3" t="s">
        <v>988</v>
      </c>
    </row>
    <row r="102" customFormat="false" ht="13.8" hidden="false" customHeight="false" outlineLevel="0" collapsed="false">
      <c r="A102" s="0" t="str">
        <f aca="false">CONCATENATE("__import__.res_partner_",C102)</f>
        <v>__import__.res_partner_20000000161</v>
      </c>
      <c r="B102" s="2" t="s">
        <v>989</v>
      </c>
      <c r="C102" s="3" t="s">
        <v>990</v>
      </c>
      <c r="D102" s="2" t="s">
        <v>991</v>
      </c>
      <c r="F102" s="2" t="s">
        <v>30</v>
      </c>
      <c r="G102" s="2" t="s">
        <v>31</v>
      </c>
      <c r="H102" s="2" t="s">
        <v>32</v>
      </c>
      <c r="K102" s="2" t="s">
        <v>992</v>
      </c>
      <c r="L102" s="3" t="s">
        <v>993</v>
      </c>
      <c r="M102" s="2" t="s">
        <v>994</v>
      </c>
      <c r="O102" s="2" t="s">
        <v>49</v>
      </c>
      <c r="P102" s="2" t="s">
        <v>37</v>
      </c>
      <c r="Q102" s="2" t="s">
        <v>995</v>
      </c>
      <c r="R102" s="2" t="s">
        <v>996</v>
      </c>
      <c r="T102" s="2" t="s">
        <v>108</v>
      </c>
      <c r="X102" s="2" t="n">
        <v>161</v>
      </c>
      <c r="Y102" s="2" t="s">
        <v>991</v>
      </c>
      <c r="Z102" s="3" t="s">
        <v>997</v>
      </c>
    </row>
    <row r="103" customFormat="false" ht="13.8" hidden="false" customHeight="false" outlineLevel="0" collapsed="false">
      <c r="A103" s="0" t="str">
        <f aca="false">CONCATENATE("__import__.res_partner_",C103)</f>
        <v>__import__.res_partner_20000000162</v>
      </c>
      <c r="B103" s="2" t="s">
        <v>998</v>
      </c>
      <c r="C103" s="3" t="s">
        <v>999</v>
      </c>
      <c r="D103" s="2" t="s">
        <v>1000</v>
      </c>
      <c r="F103" s="2" t="s">
        <v>30</v>
      </c>
      <c r="G103" s="2" t="s">
        <v>31</v>
      </c>
      <c r="H103" s="2" t="s">
        <v>32</v>
      </c>
      <c r="K103" s="2" t="s">
        <v>1001</v>
      </c>
      <c r="M103" s="2" t="s">
        <v>1002</v>
      </c>
      <c r="O103" s="2" t="s">
        <v>1003</v>
      </c>
      <c r="P103" s="2" t="s">
        <v>1004</v>
      </c>
      <c r="Q103" s="2" t="s">
        <v>1005</v>
      </c>
      <c r="R103" s="2" t="s">
        <v>1006</v>
      </c>
      <c r="T103" s="2" t="s">
        <v>697</v>
      </c>
      <c r="X103" s="2" t="n">
        <v>162</v>
      </c>
      <c r="Y103" s="2" t="s">
        <v>1007</v>
      </c>
      <c r="Z103" s="3" t="s">
        <v>1008</v>
      </c>
    </row>
    <row r="104" customFormat="false" ht="13.8" hidden="false" customHeight="false" outlineLevel="0" collapsed="false">
      <c r="A104" s="0" t="str">
        <f aca="false">CONCATENATE("__import__.res_partner_",C104)</f>
        <v>__import__.res_partner_20000000163</v>
      </c>
      <c r="B104" s="2" t="s">
        <v>1009</v>
      </c>
      <c r="C104" s="3" t="s">
        <v>1010</v>
      </c>
      <c r="D104" s="2" t="s">
        <v>1011</v>
      </c>
      <c r="F104" s="2" t="s">
        <v>30</v>
      </c>
      <c r="G104" s="2" t="s">
        <v>31</v>
      </c>
      <c r="H104" s="2" t="s">
        <v>32</v>
      </c>
      <c r="K104" s="2" t="s">
        <v>1012</v>
      </c>
      <c r="L104" s="3" t="s">
        <v>1013</v>
      </c>
      <c r="M104" s="2" t="s">
        <v>1014</v>
      </c>
      <c r="O104" s="2" t="s">
        <v>36</v>
      </c>
      <c r="P104" s="2" t="s">
        <v>37</v>
      </c>
      <c r="R104" s="2" t="s">
        <v>1015</v>
      </c>
      <c r="T104" s="2" t="s">
        <v>40</v>
      </c>
      <c r="X104" s="2" t="n">
        <v>163</v>
      </c>
      <c r="Y104" s="2" t="s">
        <v>1011</v>
      </c>
      <c r="Z104" s="3" t="s">
        <v>1016</v>
      </c>
    </row>
    <row r="105" customFormat="false" ht="27.75" hidden="false" customHeight="false" outlineLevel="0" collapsed="false">
      <c r="A105" s="0" t="str">
        <f aca="false">CONCATENATE("__import__.res_partner_",C105)</f>
        <v>__import__.res_partner_20000000165</v>
      </c>
      <c r="B105" s="2" t="s">
        <v>1017</v>
      </c>
      <c r="C105" s="3" t="s">
        <v>1018</v>
      </c>
      <c r="D105" s="2" t="s">
        <v>1019</v>
      </c>
      <c r="F105" s="2" t="s">
        <v>30</v>
      </c>
      <c r="G105" s="2" t="s">
        <v>31</v>
      </c>
      <c r="H105" s="2" t="s">
        <v>32</v>
      </c>
      <c r="K105" s="2" t="s">
        <v>1020</v>
      </c>
      <c r="L105" s="3" t="s">
        <v>1021</v>
      </c>
      <c r="M105" s="2" t="s">
        <v>1022</v>
      </c>
      <c r="O105" s="2" t="s">
        <v>1023</v>
      </c>
      <c r="P105" s="2" t="s">
        <v>37</v>
      </c>
      <c r="Q105" s="2" t="s">
        <v>232</v>
      </c>
      <c r="R105" s="2" t="s">
        <v>1024</v>
      </c>
      <c r="T105" s="2" t="s">
        <v>64</v>
      </c>
      <c r="X105" s="2" t="n">
        <v>165</v>
      </c>
      <c r="Y105" s="2" t="s">
        <v>1019</v>
      </c>
      <c r="Z105" s="3" t="s">
        <v>1025</v>
      </c>
      <c r="AA105" s="4" t="s">
        <v>1026</v>
      </c>
    </row>
    <row r="106" customFormat="false" ht="13.8" hidden="false" customHeight="false" outlineLevel="0" collapsed="false">
      <c r="A106" s="0" t="str">
        <f aca="false">CONCATENATE("__import__.res_partner_",C106)</f>
        <v>__import__.res_partner_20000000166</v>
      </c>
      <c r="B106" s="2" t="s">
        <v>1027</v>
      </c>
      <c r="C106" s="3" t="s">
        <v>1028</v>
      </c>
      <c r="D106" s="2" t="s">
        <v>1029</v>
      </c>
      <c r="F106" s="2" t="s">
        <v>30</v>
      </c>
      <c r="G106" s="2" t="s">
        <v>31</v>
      </c>
      <c r="H106" s="2" t="s">
        <v>32</v>
      </c>
      <c r="K106" s="2" t="s">
        <v>1030</v>
      </c>
      <c r="L106" s="3" t="s">
        <v>280</v>
      </c>
      <c r="M106" s="2" t="s">
        <v>1031</v>
      </c>
      <c r="O106" s="2" t="s">
        <v>325</v>
      </c>
      <c r="P106" s="2" t="s">
        <v>37</v>
      </c>
      <c r="R106" s="2" t="s">
        <v>1032</v>
      </c>
      <c r="T106" s="2" t="s">
        <v>76</v>
      </c>
      <c r="X106" s="2" t="n">
        <v>166</v>
      </c>
      <c r="Y106" s="2" t="s">
        <v>1029</v>
      </c>
      <c r="Z106" s="3" t="s">
        <v>1033</v>
      </c>
    </row>
    <row r="107" customFormat="false" ht="13.8" hidden="false" customHeight="false" outlineLevel="0" collapsed="false">
      <c r="A107" s="0" t="str">
        <f aca="false">CONCATENATE("__import__.res_partner_",C107)</f>
        <v>__import__.res_partner_20000000167</v>
      </c>
      <c r="B107" s="2" t="s">
        <v>1034</v>
      </c>
      <c r="C107" s="3" t="s">
        <v>1035</v>
      </c>
      <c r="D107" s="2" t="s">
        <v>1036</v>
      </c>
      <c r="F107" s="2" t="s">
        <v>30</v>
      </c>
      <c r="G107" s="2" t="s">
        <v>31</v>
      </c>
      <c r="H107" s="2" t="s">
        <v>32</v>
      </c>
      <c r="K107" s="2" t="s">
        <v>1037</v>
      </c>
      <c r="L107" s="3" t="s">
        <v>1038</v>
      </c>
      <c r="M107" s="2" t="s">
        <v>1039</v>
      </c>
      <c r="O107" s="2" t="s">
        <v>1040</v>
      </c>
      <c r="P107" s="2" t="s">
        <v>37</v>
      </c>
      <c r="R107" s="2" t="s">
        <v>1041</v>
      </c>
      <c r="T107" s="2" t="s">
        <v>202</v>
      </c>
      <c r="X107" s="2" t="n">
        <v>167</v>
      </c>
      <c r="Y107" s="2" t="s">
        <v>1036</v>
      </c>
      <c r="Z107" s="3" t="s">
        <v>1042</v>
      </c>
    </row>
    <row r="108" customFormat="false" ht="13.8" hidden="false" customHeight="false" outlineLevel="0" collapsed="false">
      <c r="A108" s="0" t="str">
        <f aca="false">CONCATENATE("__import__.res_partner_",C108)</f>
        <v>__import__.res_partner_20000000168</v>
      </c>
      <c r="B108" s="2" t="s">
        <v>1043</v>
      </c>
      <c r="C108" s="3" t="s">
        <v>1044</v>
      </c>
      <c r="D108" s="2" t="s">
        <v>1045</v>
      </c>
      <c r="F108" s="2" t="s">
        <v>30</v>
      </c>
      <c r="G108" s="2" t="s">
        <v>31</v>
      </c>
      <c r="H108" s="2" t="s">
        <v>32</v>
      </c>
      <c r="K108" s="2" t="s">
        <v>1046</v>
      </c>
      <c r="L108" s="3" t="s">
        <v>1047</v>
      </c>
      <c r="M108" s="2" t="s">
        <v>1048</v>
      </c>
      <c r="O108" s="2" t="s">
        <v>1049</v>
      </c>
      <c r="P108" s="2" t="s">
        <v>37</v>
      </c>
      <c r="R108" s="2" t="s">
        <v>1050</v>
      </c>
      <c r="T108" s="2" t="s">
        <v>202</v>
      </c>
      <c r="X108" s="2" t="n">
        <v>168</v>
      </c>
      <c r="Y108" s="2" t="s">
        <v>1045</v>
      </c>
      <c r="Z108" s="3" t="s">
        <v>1051</v>
      </c>
    </row>
    <row r="109" customFormat="false" ht="13.8" hidden="false" customHeight="false" outlineLevel="0" collapsed="false">
      <c r="A109" s="0" t="str">
        <f aca="false">CONCATENATE("__import__.res_partner_",C109)</f>
        <v>__import__.res_partner_20000000169</v>
      </c>
      <c r="B109" s="2" t="s">
        <v>1052</v>
      </c>
      <c r="C109" s="3" t="s">
        <v>1053</v>
      </c>
      <c r="D109" s="2" t="s">
        <v>1054</v>
      </c>
      <c r="F109" s="2" t="s">
        <v>30</v>
      </c>
      <c r="G109" s="2" t="s">
        <v>31</v>
      </c>
      <c r="H109" s="2" t="s">
        <v>32</v>
      </c>
      <c r="K109" s="2" t="s">
        <v>1055</v>
      </c>
      <c r="L109" s="3" t="s">
        <v>1056</v>
      </c>
      <c r="M109" s="2" t="s">
        <v>1057</v>
      </c>
      <c r="O109" s="2" t="s">
        <v>1058</v>
      </c>
      <c r="P109" s="2" t="s">
        <v>37</v>
      </c>
      <c r="R109" s="3" t="s">
        <v>1059</v>
      </c>
      <c r="T109" s="2" t="s">
        <v>76</v>
      </c>
      <c r="X109" s="2" t="n">
        <v>169</v>
      </c>
      <c r="Y109" s="2" t="s">
        <v>1054</v>
      </c>
      <c r="Z109" s="3" t="s">
        <v>1060</v>
      </c>
    </row>
    <row r="110" customFormat="false" ht="13.8" hidden="false" customHeight="false" outlineLevel="0" collapsed="false">
      <c r="A110" s="0" t="str">
        <f aca="false">CONCATENATE("__import__.res_partner_",C110)</f>
        <v>__import__.res_partner_20000000170</v>
      </c>
      <c r="B110" s="2" t="s">
        <v>1061</v>
      </c>
      <c r="C110" s="3" t="s">
        <v>1062</v>
      </c>
      <c r="D110" s="2" t="s">
        <v>1063</v>
      </c>
      <c r="F110" s="2" t="s">
        <v>30</v>
      </c>
      <c r="G110" s="2" t="s">
        <v>31</v>
      </c>
      <c r="H110" s="2" t="s">
        <v>32</v>
      </c>
      <c r="K110" s="2" t="s">
        <v>1064</v>
      </c>
      <c r="L110" s="3" t="s">
        <v>1065</v>
      </c>
      <c r="M110" s="2" t="s">
        <v>1066</v>
      </c>
      <c r="O110" s="2" t="s">
        <v>1067</v>
      </c>
      <c r="P110" s="2" t="s">
        <v>37</v>
      </c>
      <c r="Q110" s="2" t="s">
        <v>1068</v>
      </c>
      <c r="R110" s="2" t="s">
        <v>1069</v>
      </c>
      <c r="T110" s="2" t="s">
        <v>97</v>
      </c>
      <c r="X110" s="2" t="n">
        <v>170</v>
      </c>
      <c r="Y110" s="2" t="s">
        <v>1063</v>
      </c>
      <c r="Z110" s="3" t="s">
        <v>1070</v>
      </c>
    </row>
    <row r="111" customFormat="false" ht="13.8" hidden="false" customHeight="false" outlineLevel="0" collapsed="false">
      <c r="A111" s="0" t="str">
        <f aca="false">CONCATENATE("__import__.res_partner_",C111)</f>
        <v>__import__.res_partner_20000000171</v>
      </c>
      <c r="B111" s="2" t="s">
        <v>1071</v>
      </c>
      <c r="C111" s="3" t="s">
        <v>1072</v>
      </c>
      <c r="D111" s="2" t="s">
        <v>1073</v>
      </c>
      <c r="F111" s="2" t="s">
        <v>30</v>
      </c>
      <c r="G111" s="2" t="s">
        <v>31</v>
      </c>
      <c r="H111" s="2" t="s">
        <v>32</v>
      </c>
      <c r="K111" s="2" t="s">
        <v>1074</v>
      </c>
      <c r="L111" s="3" t="s">
        <v>714</v>
      </c>
      <c r="M111" s="2" t="s">
        <v>1075</v>
      </c>
      <c r="O111" s="2" t="s">
        <v>1076</v>
      </c>
      <c r="P111" s="2" t="s">
        <v>37</v>
      </c>
      <c r="R111" s="2" t="s">
        <v>1077</v>
      </c>
      <c r="T111" s="2" t="s">
        <v>157</v>
      </c>
      <c r="X111" s="2" t="n">
        <v>171</v>
      </c>
      <c r="Y111" s="2" t="s">
        <v>1073</v>
      </c>
      <c r="Z111" s="3" t="s">
        <v>1078</v>
      </c>
    </row>
    <row r="112" customFormat="false" ht="13.8" hidden="false" customHeight="false" outlineLevel="0" collapsed="false">
      <c r="A112" s="0" t="str">
        <f aca="false">CONCATENATE("__import__.res_partner_",C112)</f>
        <v>__import__.res_partner_20000000172</v>
      </c>
      <c r="B112" s="2" t="s">
        <v>1079</v>
      </c>
      <c r="C112" s="3" t="s">
        <v>1080</v>
      </c>
      <c r="D112" s="2" t="s">
        <v>1081</v>
      </c>
      <c r="F112" s="2" t="s">
        <v>30</v>
      </c>
      <c r="G112" s="2" t="s">
        <v>31</v>
      </c>
      <c r="H112" s="2" t="s">
        <v>32</v>
      </c>
      <c r="K112" s="2" t="s">
        <v>1082</v>
      </c>
      <c r="L112" s="3" t="s">
        <v>1083</v>
      </c>
      <c r="M112" s="2" t="s">
        <v>1084</v>
      </c>
      <c r="O112" s="2" t="s">
        <v>36</v>
      </c>
      <c r="P112" s="2" t="s">
        <v>37</v>
      </c>
      <c r="Q112" s="2" t="s">
        <v>1085</v>
      </c>
      <c r="R112" s="2" t="s">
        <v>1086</v>
      </c>
      <c r="T112" s="2" t="s">
        <v>157</v>
      </c>
      <c r="X112" s="2" t="n">
        <v>172</v>
      </c>
      <c r="Y112" s="2" t="s">
        <v>1081</v>
      </c>
      <c r="Z112" s="3" t="s">
        <v>1087</v>
      </c>
    </row>
    <row r="113" customFormat="false" ht="13.8" hidden="false" customHeight="false" outlineLevel="0" collapsed="false">
      <c r="A113" s="0" t="str">
        <f aca="false">CONCATENATE("__import__.res_partner_",C113)</f>
        <v>__import__.res_partner_20000000173</v>
      </c>
      <c r="B113" s="2" t="s">
        <v>1088</v>
      </c>
      <c r="C113" s="3" t="s">
        <v>1089</v>
      </c>
      <c r="D113" s="2" t="s">
        <v>1090</v>
      </c>
      <c r="F113" s="2" t="s">
        <v>30</v>
      </c>
      <c r="G113" s="2" t="s">
        <v>31</v>
      </c>
      <c r="H113" s="2" t="s">
        <v>32</v>
      </c>
      <c r="K113" s="2" t="s">
        <v>1091</v>
      </c>
      <c r="L113" s="3" t="s">
        <v>539</v>
      </c>
      <c r="M113" s="2" t="s">
        <v>1092</v>
      </c>
      <c r="O113" s="2" t="s">
        <v>1093</v>
      </c>
      <c r="P113" s="2" t="s">
        <v>37</v>
      </c>
      <c r="Q113" s="2" t="s">
        <v>232</v>
      </c>
      <c r="R113" s="2" t="s">
        <v>1094</v>
      </c>
      <c r="T113" s="2" t="s">
        <v>64</v>
      </c>
      <c r="X113" s="2" t="n">
        <v>173</v>
      </c>
      <c r="Y113" s="2" t="s">
        <v>1090</v>
      </c>
      <c r="Z113" s="3" t="s">
        <v>1095</v>
      </c>
    </row>
    <row r="114" customFormat="false" ht="13.8" hidden="false" customHeight="false" outlineLevel="0" collapsed="false">
      <c r="A114" s="0" t="str">
        <f aca="false">CONCATENATE("__import__.res_partner_",C114)</f>
        <v>__import__.res_partner_20000000174</v>
      </c>
      <c r="B114" s="2" t="s">
        <v>1096</v>
      </c>
      <c r="C114" s="3" t="s">
        <v>1097</v>
      </c>
      <c r="D114" s="2" t="s">
        <v>1098</v>
      </c>
      <c r="F114" s="2" t="s">
        <v>30</v>
      </c>
      <c r="G114" s="2" t="s">
        <v>31</v>
      </c>
      <c r="H114" s="2" t="s">
        <v>32</v>
      </c>
      <c r="K114" s="2" t="s">
        <v>1099</v>
      </c>
      <c r="L114" s="3" t="s">
        <v>355</v>
      </c>
      <c r="M114" s="2" t="s">
        <v>1100</v>
      </c>
      <c r="O114" s="2" t="s">
        <v>36</v>
      </c>
      <c r="P114" s="2" t="s">
        <v>37</v>
      </c>
      <c r="R114" s="2" t="s">
        <v>1101</v>
      </c>
      <c r="T114" s="2" t="s">
        <v>157</v>
      </c>
      <c r="X114" s="2" t="n">
        <v>174</v>
      </c>
      <c r="Y114" s="2" t="s">
        <v>1098</v>
      </c>
      <c r="Z114" s="3" t="s">
        <v>1102</v>
      </c>
    </row>
    <row r="115" customFormat="false" ht="13.8" hidden="false" customHeight="false" outlineLevel="0" collapsed="false">
      <c r="A115" s="0" t="str">
        <f aca="false">CONCATENATE("__import__.res_partner_",C115)</f>
        <v>__import__.res_partner_20000000175</v>
      </c>
      <c r="B115" s="2" t="s">
        <v>1103</v>
      </c>
      <c r="C115" s="3" t="s">
        <v>1104</v>
      </c>
      <c r="D115" s="2" t="s">
        <v>1105</v>
      </c>
      <c r="F115" s="2" t="s">
        <v>30</v>
      </c>
      <c r="G115" s="2" t="s">
        <v>31</v>
      </c>
      <c r="H115" s="2" t="s">
        <v>32</v>
      </c>
      <c r="K115" s="2" t="s">
        <v>1106</v>
      </c>
      <c r="L115" s="3" t="s">
        <v>1107</v>
      </c>
      <c r="M115" s="2" t="s">
        <v>1108</v>
      </c>
      <c r="O115" s="2" t="s">
        <v>1109</v>
      </c>
      <c r="P115" s="2" t="s">
        <v>37</v>
      </c>
      <c r="R115" s="2" t="s">
        <v>1110</v>
      </c>
      <c r="T115" s="2" t="s">
        <v>202</v>
      </c>
      <c r="X115" s="2" t="n">
        <v>175</v>
      </c>
      <c r="Y115" s="2" t="s">
        <v>1105</v>
      </c>
      <c r="Z115" s="3" t="s">
        <v>1111</v>
      </c>
    </row>
    <row r="116" customFormat="false" ht="13.8" hidden="false" customHeight="false" outlineLevel="0" collapsed="false">
      <c r="A116" s="0" t="str">
        <f aca="false">CONCATENATE("__import__.res_partner_",C116)</f>
        <v>__import__.res_partner_20000000176</v>
      </c>
      <c r="B116" s="2" t="s">
        <v>1112</v>
      </c>
      <c r="C116" s="3" t="s">
        <v>1113</v>
      </c>
      <c r="D116" s="2" t="s">
        <v>1114</v>
      </c>
      <c r="F116" s="2" t="s">
        <v>30</v>
      </c>
      <c r="G116" s="2" t="s">
        <v>31</v>
      </c>
      <c r="H116" s="2" t="s">
        <v>32</v>
      </c>
      <c r="K116" s="2" t="s">
        <v>1115</v>
      </c>
      <c r="L116" s="3" t="s">
        <v>1116</v>
      </c>
      <c r="M116" s="2" t="s">
        <v>1117</v>
      </c>
      <c r="O116" s="2" t="s">
        <v>1118</v>
      </c>
      <c r="P116" s="2" t="s">
        <v>37</v>
      </c>
      <c r="Q116" s="2" t="s">
        <v>385</v>
      </c>
      <c r="R116" s="2" t="s">
        <v>1119</v>
      </c>
      <c r="T116" s="2" t="s">
        <v>64</v>
      </c>
      <c r="X116" s="2" t="n">
        <v>176</v>
      </c>
      <c r="Y116" s="2" t="s">
        <v>1114</v>
      </c>
      <c r="Z116" s="3" t="s">
        <v>1120</v>
      </c>
    </row>
    <row r="117" customFormat="false" ht="13.8" hidden="false" customHeight="false" outlineLevel="0" collapsed="false">
      <c r="A117" s="0" t="str">
        <f aca="false">CONCATENATE("__import__.res_partner_",C117)</f>
        <v>__import__.res_partner_20000000177</v>
      </c>
      <c r="B117" s="2" t="s">
        <v>1121</v>
      </c>
      <c r="C117" s="3" t="s">
        <v>1122</v>
      </c>
      <c r="D117" s="2" t="s">
        <v>1123</v>
      </c>
      <c r="F117" s="2" t="s">
        <v>30</v>
      </c>
      <c r="G117" s="2" t="s">
        <v>31</v>
      </c>
      <c r="H117" s="2" t="s">
        <v>32</v>
      </c>
      <c r="K117" s="2" t="s">
        <v>1124</v>
      </c>
      <c r="L117" s="3" t="s">
        <v>786</v>
      </c>
      <c r="M117" s="2" t="s">
        <v>1125</v>
      </c>
      <c r="O117" s="2" t="s">
        <v>895</v>
      </c>
      <c r="P117" s="2" t="s">
        <v>37</v>
      </c>
      <c r="R117" s="2" t="s">
        <v>1126</v>
      </c>
      <c r="T117" s="2" t="s">
        <v>202</v>
      </c>
      <c r="X117" s="2" t="n">
        <v>177</v>
      </c>
      <c r="Y117" s="2" t="s">
        <v>1123</v>
      </c>
      <c r="Z117" s="3" t="s">
        <v>1127</v>
      </c>
    </row>
    <row r="118" customFormat="false" ht="13.8" hidden="false" customHeight="false" outlineLevel="0" collapsed="false">
      <c r="A118" s="0" t="str">
        <f aca="false">CONCATENATE("__import__.res_partner_",C118)</f>
        <v>__import__.res_partner_20000000178</v>
      </c>
      <c r="B118" s="2" t="s">
        <v>1128</v>
      </c>
      <c r="C118" s="3" t="s">
        <v>1129</v>
      </c>
      <c r="D118" s="2" t="s">
        <v>1130</v>
      </c>
      <c r="F118" s="2" t="s">
        <v>30</v>
      </c>
      <c r="G118" s="2" t="s">
        <v>31</v>
      </c>
      <c r="H118" s="2" t="s">
        <v>32</v>
      </c>
      <c r="K118" s="2" t="s">
        <v>1131</v>
      </c>
      <c r="L118" s="3" t="s">
        <v>83</v>
      </c>
      <c r="M118" s="2" t="s">
        <v>1132</v>
      </c>
      <c r="O118" s="2" t="s">
        <v>1133</v>
      </c>
      <c r="P118" s="2" t="s">
        <v>37</v>
      </c>
      <c r="R118" s="2" t="s">
        <v>1134</v>
      </c>
      <c r="T118" s="2" t="s">
        <v>202</v>
      </c>
      <c r="X118" s="2" t="n">
        <v>178</v>
      </c>
      <c r="Y118" s="2" t="s">
        <v>1130</v>
      </c>
      <c r="Z118" s="3" t="s">
        <v>1135</v>
      </c>
    </row>
    <row r="119" customFormat="false" ht="13.8" hidden="false" customHeight="false" outlineLevel="0" collapsed="false">
      <c r="A119" s="0" t="str">
        <f aca="false">CONCATENATE("__import__.res_partner_",C119)</f>
        <v>__import__.res_partner_20000000179</v>
      </c>
      <c r="B119" s="2" t="s">
        <v>1136</v>
      </c>
      <c r="C119" s="3" t="s">
        <v>1137</v>
      </c>
      <c r="D119" s="2" t="s">
        <v>1138</v>
      </c>
      <c r="F119" s="2" t="s">
        <v>30</v>
      </c>
      <c r="G119" s="2" t="s">
        <v>31</v>
      </c>
      <c r="H119" s="2" t="s">
        <v>32</v>
      </c>
      <c r="K119" s="2" t="s">
        <v>1139</v>
      </c>
      <c r="L119" s="3" t="s">
        <v>1140</v>
      </c>
      <c r="M119" s="2" t="s">
        <v>1141</v>
      </c>
      <c r="O119" s="2" t="s">
        <v>36</v>
      </c>
      <c r="P119" s="2" t="s">
        <v>37</v>
      </c>
      <c r="Q119" s="2" t="s">
        <v>1142</v>
      </c>
      <c r="R119" s="2" t="s">
        <v>1143</v>
      </c>
      <c r="T119" s="2" t="s">
        <v>64</v>
      </c>
      <c r="X119" s="2" t="n">
        <v>179</v>
      </c>
      <c r="Y119" s="2" t="s">
        <v>1138</v>
      </c>
      <c r="Z119" s="3" t="s">
        <v>1144</v>
      </c>
    </row>
    <row r="120" customFormat="false" ht="13.8" hidden="false" customHeight="false" outlineLevel="0" collapsed="false">
      <c r="A120" s="0" t="str">
        <f aca="false">CONCATENATE("__import__.res_partner_",C120)</f>
        <v>__import__.res_partner_20000000180</v>
      </c>
      <c r="B120" s="2" t="s">
        <v>1145</v>
      </c>
      <c r="C120" s="3" t="s">
        <v>1146</v>
      </c>
      <c r="D120" s="2" t="s">
        <v>1147</v>
      </c>
      <c r="F120" s="2" t="s">
        <v>30</v>
      </c>
      <c r="G120" s="2" t="s">
        <v>31</v>
      </c>
      <c r="H120" s="2" t="s">
        <v>32</v>
      </c>
      <c r="K120" s="2" t="s">
        <v>1148</v>
      </c>
      <c r="L120" s="3" t="s">
        <v>1149</v>
      </c>
      <c r="M120" s="2" t="s">
        <v>1150</v>
      </c>
      <c r="O120" s="2" t="s">
        <v>1151</v>
      </c>
      <c r="P120" s="2" t="s">
        <v>37</v>
      </c>
      <c r="Q120" s="2" t="s">
        <v>1152</v>
      </c>
      <c r="R120" s="2" t="s">
        <v>1153</v>
      </c>
      <c r="T120" s="2" t="s">
        <v>97</v>
      </c>
      <c r="X120" s="2" t="n">
        <v>180</v>
      </c>
      <c r="Y120" s="2" t="s">
        <v>1147</v>
      </c>
      <c r="Z120" s="3" t="s">
        <v>1154</v>
      </c>
    </row>
    <row r="121" customFormat="false" ht="13.8" hidden="false" customHeight="false" outlineLevel="0" collapsed="false">
      <c r="A121" s="0" t="str">
        <f aca="false">CONCATENATE("__import__.res_partner_",C121)</f>
        <v>__import__.res_partner_20000000181</v>
      </c>
      <c r="B121" s="2" t="s">
        <v>1155</v>
      </c>
      <c r="C121" s="3" t="s">
        <v>1156</v>
      </c>
      <c r="D121" s="2" t="s">
        <v>1157</v>
      </c>
      <c r="F121" s="2" t="s">
        <v>30</v>
      </c>
      <c r="G121" s="2" t="s">
        <v>31</v>
      </c>
      <c r="H121" s="2" t="s">
        <v>32</v>
      </c>
      <c r="K121" s="2" t="s">
        <v>1158</v>
      </c>
      <c r="L121" s="3" t="s">
        <v>1159</v>
      </c>
      <c r="M121" s="2" t="s">
        <v>1160</v>
      </c>
      <c r="O121" s="2" t="s">
        <v>1161</v>
      </c>
      <c r="P121" s="2" t="s">
        <v>1162</v>
      </c>
      <c r="Q121" s="2" t="s">
        <v>1005</v>
      </c>
      <c r="R121" s="2" t="s">
        <v>1163</v>
      </c>
      <c r="T121" s="2" t="s">
        <v>108</v>
      </c>
      <c r="X121" s="2" t="n">
        <v>181</v>
      </c>
      <c r="Y121" s="2" t="s">
        <v>1164</v>
      </c>
      <c r="Z121" s="3" t="s">
        <v>1165</v>
      </c>
    </row>
    <row r="122" customFormat="false" ht="13.8" hidden="false" customHeight="false" outlineLevel="0" collapsed="false">
      <c r="A122" s="0" t="str">
        <f aca="false">CONCATENATE("__import__.res_partner_",C122)</f>
        <v>__import__.res_partner_20000000182</v>
      </c>
      <c r="B122" s="2" t="s">
        <v>1166</v>
      </c>
      <c r="C122" s="3" t="s">
        <v>1167</v>
      </c>
      <c r="D122" s="2" t="s">
        <v>1168</v>
      </c>
      <c r="F122" s="2" t="s">
        <v>30</v>
      </c>
      <c r="G122" s="2" t="s">
        <v>31</v>
      </c>
      <c r="H122" s="2" t="s">
        <v>32</v>
      </c>
      <c r="K122" s="2" t="s">
        <v>1169</v>
      </c>
      <c r="L122" s="3" t="s">
        <v>423</v>
      </c>
      <c r="M122" s="2" t="s">
        <v>1170</v>
      </c>
      <c r="O122" s="2" t="s">
        <v>36</v>
      </c>
      <c r="P122" s="2" t="s">
        <v>37</v>
      </c>
      <c r="Q122" s="2" t="s">
        <v>1171</v>
      </c>
      <c r="R122" s="2" t="s">
        <v>1172</v>
      </c>
      <c r="T122" s="2" t="s">
        <v>64</v>
      </c>
      <c r="X122" s="2" t="n">
        <v>182</v>
      </c>
      <c r="Y122" s="2" t="s">
        <v>1168</v>
      </c>
      <c r="Z122" s="3" t="s">
        <v>1173</v>
      </c>
    </row>
    <row r="123" customFormat="false" ht="13.8" hidden="false" customHeight="false" outlineLevel="0" collapsed="false">
      <c r="A123" s="0" t="str">
        <f aca="false">CONCATENATE("__import__.res_partner_",C123)</f>
        <v>__import__.res_partner_20000000183</v>
      </c>
      <c r="B123" s="2" t="s">
        <v>1174</v>
      </c>
      <c r="C123" s="3" t="s">
        <v>1175</v>
      </c>
      <c r="D123" s="2" t="s">
        <v>1176</v>
      </c>
      <c r="F123" s="2" t="s">
        <v>30</v>
      </c>
      <c r="G123" s="2" t="s">
        <v>31</v>
      </c>
      <c r="H123" s="2" t="s">
        <v>32</v>
      </c>
      <c r="K123" s="2" t="s">
        <v>1177</v>
      </c>
      <c r="L123" s="3" t="s">
        <v>1178</v>
      </c>
      <c r="M123" s="2" t="s">
        <v>1179</v>
      </c>
      <c r="O123" s="2" t="s">
        <v>1180</v>
      </c>
      <c r="P123" s="2" t="s">
        <v>37</v>
      </c>
      <c r="R123" s="3" t="s">
        <v>1181</v>
      </c>
      <c r="T123" s="2" t="s">
        <v>64</v>
      </c>
      <c r="X123" s="2" t="n">
        <v>183</v>
      </c>
      <c r="Y123" s="2" t="s">
        <v>1176</v>
      </c>
      <c r="Z123" s="3" t="s">
        <v>1182</v>
      </c>
    </row>
    <row r="124" customFormat="false" ht="13.8" hidden="false" customHeight="false" outlineLevel="0" collapsed="false">
      <c r="A124" s="0" t="str">
        <f aca="false">CONCATENATE("__import__.res_partner_",C124)</f>
        <v>__import__.res_partner_20000000186</v>
      </c>
      <c r="B124" s="2" t="s">
        <v>1183</v>
      </c>
      <c r="C124" s="3" t="s">
        <v>1184</v>
      </c>
      <c r="D124" s="2" t="s">
        <v>1185</v>
      </c>
      <c r="F124" s="2" t="s">
        <v>30</v>
      </c>
      <c r="G124" s="2" t="s">
        <v>31</v>
      </c>
      <c r="H124" s="2" t="s">
        <v>32</v>
      </c>
      <c r="K124" s="2" t="s">
        <v>1186</v>
      </c>
      <c r="L124" s="3" t="s">
        <v>1187</v>
      </c>
      <c r="M124" s="2" t="s">
        <v>1188</v>
      </c>
      <c r="O124" s="2" t="s">
        <v>49</v>
      </c>
      <c r="P124" s="2" t="s">
        <v>37</v>
      </c>
      <c r="R124" s="2" t="s">
        <v>1189</v>
      </c>
      <c r="T124" s="2" t="s">
        <v>202</v>
      </c>
      <c r="X124" s="2" t="n">
        <v>186</v>
      </c>
      <c r="Y124" s="2" t="s">
        <v>1185</v>
      </c>
      <c r="Z124" s="3" t="s">
        <v>1190</v>
      </c>
    </row>
    <row r="125" customFormat="false" ht="13.8" hidden="false" customHeight="false" outlineLevel="0" collapsed="false">
      <c r="A125" s="0" t="str">
        <f aca="false">CONCATENATE("__import__.res_partner_",C125)</f>
        <v>__import__.res_partner_20000000187</v>
      </c>
      <c r="B125" s="2" t="s">
        <v>1191</v>
      </c>
      <c r="C125" s="3" t="s">
        <v>1192</v>
      </c>
      <c r="D125" s="2" t="s">
        <v>1193</v>
      </c>
      <c r="F125" s="2" t="s">
        <v>30</v>
      </c>
      <c r="G125" s="2" t="s">
        <v>31</v>
      </c>
      <c r="H125" s="2" t="s">
        <v>32</v>
      </c>
      <c r="K125" s="2" t="s">
        <v>1194</v>
      </c>
      <c r="L125" s="3" t="s">
        <v>1195</v>
      </c>
      <c r="M125" s="2" t="s">
        <v>1196</v>
      </c>
      <c r="O125" s="2" t="s">
        <v>1197</v>
      </c>
      <c r="P125" s="2" t="s">
        <v>37</v>
      </c>
      <c r="R125" s="2" t="s">
        <v>1198</v>
      </c>
      <c r="T125" s="2" t="s">
        <v>157</v>
      </c>
      <c r="X125" s="2" t="n">
        <v>187</v>
      </c>
      <c r="Y125" s="2" t="s">
        <v>1193</v>
      </c>
      <c r="Z125" s="3" t="s">
        <v>1199</v>
      </c>
    </row>
    <row r="126" customFormat="false" ht="100.5" hidden="false" customHeight="false" outlineLevel="0" collapsed="false">
      <c r="A126" s="0" t="str">
        <f aca="false">CONCATENATE("__import__.res_partner_",C126)</f>
        <v>__import__.res_partner_20000000188</v>
      </c>
      <c r="B126" s="2" t="s">
        <v>1200</v>
      </c>
      <c r="C126" s="3" t="s">
        <v>1201</v>
      </c>
      <c r="D126" s="2" t="s">
        <v>1202</v>
      </c>
      <c r="F126" s="2" t="s">
        <v>30</v>
      </c>
      <c r="G126" s="2" t="s">
        <v>31</v>
      </c>
      <c r="H126" s="2" t="s">
        <v>32</v>
      </c>
      <c r="K126" s="2" t="s">
        <v>1203</v>
      </c>
      <c r="L126" s="3" t="s">
        <v>1204</v>
      </c>
      <c r="M126" s="2" t="s">
        <v>1205</v>
      </c>
      <c r="O126" s="2" t="s">
        <v>1206</v>
      </c>
      <c r="P126" s="2" t="s">
        <v>37</v>
      </c>
      <c r="Q126" s="2" t="s">
        <v>1207</v>
      </c>
      <c r="R126" s="2" t="s">
        <v>1208</v>
      </c>
      <c r="T126" s="2" t="s">
        <v>1209</v>
      </c>
      <c r="X126" s="2" t="n">
        <v>188</v>
      </c>
      <c r="Y126" s="2" t="s">
        <v>1202</v>
      </c>
      <c r="Z126" s="3" t="s">
        <v>1210</v>
      </c>
      <c r="AA126" s="4" t="s">
        <v>1211</v>
      </c>
    </row>
    <row r="127" customFormat="false" ht="13.8" hidden="false" customHeight="false" outlineLevel="0" collapsed="false">
      <c r="A127" s="0" t="str">
        <f aca="false">CONCATENATE("__import__.res_partner_",C127)</f>
        <v>__import__.res_partner_20000000189</v>
      </c>
      <c r="B127" s="2" t="s">
        <v>1212</v>
      </c>
      <c r="C127" s="3" t="s">
        <v>1213</v>
      </c>
      <c r="D127" s="2" t="s">
        <v>1214</v>
      </c>
      <c r="F127" s="2" t="s">
        <v>30</v>
      </c>
      <c r="G127" s="2" t="s">
        <v>31</v>
      </c>
      <c r="H127" s="2" t="s">
        <v>32</v>
      </c>
      <c r="K127" s="2" t="s">
        <v>1215</v>
      </c>
      <c r="L127" s="3" t="s">
        <v>1216</v>
      </c>
      <c r="M127" s="2" t="s">
        <v>1217</v>
      </c>
      <c r="O127" s="2" t="s">
        <v>1218</v>
      </c>
      <c r="P127" s="2" t="s">
        <v>37</v>
      </c>
      <c r="R127" s="2" t="s">
        <v>1219</v>
      </c>
      <c r="T127" s="2" t="s">
        <v>202</v>
      </c>
      <c r="X127" s="2" t="n">
        <v>189</v>
      </c>
      <c r="Y127" s="2" t="s">
        <v>1214</v>
      </c>
      <c r="Z127" s="3" t="s">
        <v>1220</v>
      </c>
    </row>
    <row r="128" customFormat="false" ht="13.8" hidden="false" customHeight="false" outlineLevel="0" collapsed="false">
      <c r="A128" s="0" t="str">
        <f aca="false">CONCATENATE("__import__.res_partner_",C128)</f>
        <v>__import__.res_partner_20000000190</v>
      </c>
      <c r="B128" s="2" t="s">
        <v>1221</v>
      </c>
      <c r="C128" s="3" t="s">
        <v>1222</v>
      </c>
      <c r="D128" s="2" t="s">
        <v>1223</v>
      </c>
      <c r="F128" s="2" t="s">
        <v>30</v>
      </c>
      <c r="G128" s="2" t="s">
        <v>31</v>
      </c>
      <c r="H128" s="2" t="s">
        <v>32</v>
      </c>
      <c r="K128" s="2" t="s">
        <v>1224</v>
      </c>
      <c r="L128" s="3" t="s">
        <v>1225</v>
      </c>
      <c r="M128" s="2" t="s">
        <v>1226</v>
      </c>
      <c r="O128" s="2" t="s">
        <v>1227</v>
      </c>
      <c r="P128" s="2" t="s">
        <v>37</v>
      </c>
      <c r="Q128" s="2" t="s">
        <v>1228</v>
      </c>
      <c r="R128" s="2" t="s">
        <v>1229</v>
      </c>
      <c r="T128" s="2" t="s">
        <v>40</v>
      </c>
      <c r="X128" s="2" t="n">
        <v>190</v>
      </c>
      <c r="Y128" s="2" t="s">
        <v>1223</v>
      </c>
      <c r="Z128" s="3" t="s">
        <v>1230</v>
      </c>
      <c r="AA128" s="2" t="s">
        <v>1231</v>
      </c>
    </row>
    <row r="129" customFormat="false" ht="13.8" hidden="false" customHeight="false" outlineLevel="0" collapsed="false">
      <c r="A129" s="0" t="str">
        <f aca="false">CONCATENATE("__import__.res_partner_",C129)</f>
        <v>__import__.res_partner_20000000191</v>
      </c>
      <c r="B129" s="2" t="s">
        <v>1232</v>
      </c>
      <c r="C129" s="3" t="s">
        <v>1233</v>
      </c>
      <c r="D129" s="2" t="s">
        <v>1234</v>
      </c>
      <c r="F129" s="2" t="s">
        <v>30</v>
      </c>
      <c r="G129" s="2" t="s">
        <v>31</v>
      </c>
      <c r="H129" s="2" t="s">
        <v>32</v>
      </c>
      <c r="K129" s="2" t="s">
        <v>1235</v>
      </c>
      <c r="L129" s="3" t="s">
        <v>1236</v>
      </c>
      <c r="M129" s="2" t="s">
        <v>1237</v>
      </c>
      <c r="O129" s="2" t="s">
        <v>1238</v>
      </c>
      <c r="P129" s="2" t="s">
        <v>37</v>
      </c>
      <c r="Q129" s="2" t="s">
        <v>1239</v>
      </c>
      <c r="R129" s="2" t="s">
        <v>1240</v>
      </c>
      <c r="T129" s="2" t="s">
        <v>97</v>
      </c>
      <c r="X129" s="2" t="n">
        <v>191</v>
      </c>
      <c r="Y129" s="2" t="s">
        <v>1234</v>
      </c>
      <c r="Z129" s="3" t="s">
        <v>1241</v>
      </c>
    </row>
    <row r="130" customFormat="false" ht="13.8" hidden="false" customHeight="false" outlineLevel="0" collapsed="false">
      <c r="A130" s="0" t="str">
        <f aca="false">CONCATENATE("__import__.res_partner_",C130)</f>
        <v>__import__.res_partner_20000000193</v>
      </c>
      <c r="B130" s="2" t="s">
        <v>1242</v>
      </c>
      <c r="C130" s="3" t="s">
        <v>1243</v>
      </c>
      <c r="D130" s="2" t="s">
        <v>1244</v>
      </c>
      <c r="F130" s="2" t="s">
        <v>30</v>
      </c>
      <c r="G130" s="2" t="s">
        <v>31</v>
      </c>
      <c r="H130" s="2" t="s">
        <v>32</v>
      </c>
      <c r="K130" s="2" t="s">
        <v>1245</v>
      </c>
      <c r="L130" s="3" t="s">
        <v>289</v>
      </c>
      <c r="M130" s="2" t="s">
        <v>384</v>
      </c>
      <c r="O130" s="2" t="s">
        <v>49</v>
      </c>
      <c r="P130" s="2" t="s">
        <v>37</v>
      </c>
      <c r="Q130" s="2" t="s">
        <v>388</v>
      </c>
      <c r="R130" s="2" t="s">
        <v>386</v>
      </c>
      <c r="T130" s="2" t="s">
        <v>64</v>
      </c>
      <c r="X130" s="2" t="n">
        <v>193</v>
      </c>
      <c r="Y130" s="2" t="s">
        <v>1244</v>
      </c>
      <c r="Z130" s="3" t="s">
        <v>1246</v>
      </c>
    </row>
    <row r="131" customFormat="false" ht="13.8" hidden="false" customHeight="false" outlineLevel="0" collapsed="false">
      <c r="A131" s="0" t="str">
        <f aca="false">CONCATENATE("__import__.res_partner_",C131)</f>
        <v>__import__.res_partner_20000000194</v>
      </c>
      <c r="B131" s="2" t="s">
        <v>1247</v>
      </c>
      <c r="C131" s="3" t="s">
        <v>1248</v>
      </c>
      <c r="D131" s="2" t="s">
        <v>1249</v>
      </c>
      <c r="F131" s="2" t="s">
        <v>30</v>
      </c>
      <c r="G131" s="2" t="s">
        <v>31</v>
      </c>
      <c r="H131" s="2" t="s">
        <v>32</v>
      </c>
      <c r="K131" s="2" t="s">
        <v>1250</v>
      </c>
      <c r="L131" s="3" t="s">
        <v>1251</v>
      </c>
      <c r="M131" s="2" t="s">
        <v>1252</v>
      </c>
      <c r="O131" s="2" t="s">
        <v>1253</v>
      </c>
      <c r="P131" s="2" t="s">
        <v>37</v>
      </c>
      <c r="R131" s="2" t="s">
        <v>1254</v>
      </c>
      <c r="T131" s="2" t="s">
        <v>202</v>
      </c>
      <c r="X131" s="2" t="n">
        <v>194</v>
      </c>
      <c r="Y131" s="2" t="s">
        <v>1249</v>
      </c>
      <c r="Z131" s="3" t="s">
        <v>1255</v>
      </c>
    </row>
    <row r="132" customFormat="false" ht="13.8" hidden="false" customHeight="false" outlineLevel="0" collapsed="false">
      <c r="A132" s="0" t="str">
        <f aca="false">CONCATENATE("__import__.res_partner_",C132)</f>
        <v>__import__.res_partner_20000000195</v>
      </c>
      <c r="B132" s="2" t="s">
        <v>1256</v>
      </c>
      <c r="C132" s="3" t="s">
        <v>1257</v>
      </c>
      <c r="D132" s="2" t="s">
        <v>1258</v>
      </c>
      <c r="F132" s="2" t="s">
        <v>30</v>
      </c>
      <c r="G132" s="2" t="s">
        <v>31</v>
      </c>
      <c r="H132" s="2" t="s">
        <v>32</v>
      </c>
      <c r="K132" s="2" t="s">
        <v>1259</v>
      </c>
      <c r="L132" s="3" t="s">
        <v>539</v>
      </c>
      <c r="M132" s="2" t="s">
        <v>1260</v>
      </c>
      <c r="O132" s="2" t="s">
        <v>1093</v>
      </c>
      <c r="P132" s="2" t="s">
        <v>37</v>
      </c>
      <c r="R132" s="2" t="s">
        <v>1261</v>
      </c>
      <c r="T132" s="2" t="s">
        <v>157</v>
      </c>
      <c r="X132" s="2" t="n">
        <v>195</v>
      </c>
      <c r="Y132" s="2" t="s">
        <v>1258</v>
      </c>
      <c r="Z132" s="3" t="s">
        <v>1262</v>
      </c>
    </row>
    <row r="133" customFormat="false" ht="13.8" hidden="false" customHeight="false" outlineLevel="0" collapsed="false">
      <c r="A133" s="0" t="str">
        <f aca="false">CONCATENATE("__import__.res_partner_",C133)</f>
        <v>__import__.res_partner_20000000196</v>
      </c>
      <c r="B133" s="2" t="s">
        <v>1263</v>
      </c>
      <c r="C133" s="3" t="s">
        <v>1264</v>
      </c>
      <c r="D133" s="2" t="s">
        <v>1265</v>
      </c>
      <c r="F133" s="2" t="s">
        <v>30</v>
      </c>
      <c r="G133" s="2" t="s">
        <v>31</v>
      </c>
      <c r="H133" s="2" t="s">
        <v>32</v>
      </c>
      <c r="K133" s="2" t="s">
        <v>1266</v>
      </c>
      <c r="L133" s="3" t="s">
        <v>1267</v>
      </c>
      <c r="M133" s="2" t="s">
        <v>1268</v>
      </c>
      <c r="O133" s="2" t="s">
        <v>1269</v>
      </c>
      <c r="P133" s="2" t="s">
        <v>37</v>
      </c>
      <c r="R133" s="2" t="s">
        <v>1270</v>
      </c>
      <c r="T133" s="2" t="s">
        <v>565</v>
      </c>
      <c r="X133" s="2" t="n">
        <v>196</v>
      </c>
      <c r="Y133" s="2" t="s">
        <v>1265</v>
      </c>
      <c r="Z133" s="3" t="s">
        <v>1271</v>
      </c>
    </row>
    <row r="134" customFormat="false" ht="13.8" hidden="false" customHeight="false" outlineLevel="0" collapsed="false">
      <c r="A134" s="0" t="str">
        <f aca="false">CONCATENATE("__import__.res_partner_",C134)</f>
        <v>__import__.res_partner_20000000197</v>
      </c>
      <c r="B134" s="2" t="s">
        <v>1272</v>
      </c>
      <c r="C134" s="3" t="s">
        <v>1273</v>
      </c>
      <c r="D134" s="2" t="s">
        <v>1274</v>
      </c>
      <c r="F134" s="2" t="s">
        <v>30</v>
      </c>
      <c r="G134" s="2" t="s">
        <v>31</v>
      </c>
      <c r="H134" s="2" t="s">
        <v>32</v>
      </c>
      <c r="K134" s="2" t="s">
        <v>1275</v>
      </c>
      <c r="L134" s="3" t="s">
        <v>1276</v>
      </c>
      <c r="M134" s="2" t="s">
        <v>1277</v>
      </c>
      <c r="O134" s="2" t="s">
        <v>1278</v>
      </c>
      <c r="P134" s="2" t="s">
        <v>37</v>
      </c>
      <c r="R134" s="2" t="s">
        <v>1279</v>
      </c>
      <c r="T134" s="2" t="s">
        <v>565</v>
      </c>
      <c r="X134" s="2" t="n">
        <v>197</v>
      </c>
      <c r="Y134" s="2" t="s">
        <v>1274</v>
      </c>
      <c r="Z134" s="3" t="s">
        <v>1280</v>
      </c>
    </row>
    <row r="135" customFormat="false" ht="72" hidden="false" customHeight="false" outlineLevel="0" collapsed="false">
      <c r="A135" s="0" t="str">
        <f aca="false">CONCATENATE("__import__.res_partner_",C135)</f>
        <v>__import__.res_partner_20000000198</v>
      </c>
      <c r="B135" s="2" t="s">
        <v>1281</v>
      </c>
      <c r="C135" s="3" t="s">
        <v>1282</v>
      </c>
      <c r="D135" s="2" t="s">
        <v>1283</v>
      </c>
      <c r="F135" s="2" t="s">
        <v>30</v>
      </c>
      <c r="G135" s="2" t="s">
        <v>31</v>
      </c>
      <c r="H135" s="2" t="s">
        <v>32</v>
      </c>
      <c r="K135" s="2" t="s">
        <v>1284</v>
      </c>
      <c r="L135" s="3" t="s">
        <v>1285</v>
      </c>
      <c r="M135" s="2" t="s">
        <v>1286</v>
      </c>
      <c r="O135" s="2" t="s">
        <v>1287</v>
      </c>
      <c r="P135" s="2" t="s">
        <v>37</v>
      </c>
      <c r="Q135" s="2" t="s">
        <v>512</v>
      </c>
      <c r="R135" s="2" t="s">
        <v>1288</v>
      </c>
      <c r="T135" s="2" t="s">
        <v>40</v>
      </c>
      <c r="X135" s="2" t="n">
        <v>198</v>
      </c>
      <c r="Y135" s="2" t="s">
        <v>1283</v>
      </c>
      <c r="Z135" s="3" t="s">
        <v>1289</v>
      </c>
      <c r="AA135" s="4" t="s">
        <v>1290</v>
      </c>
    </row>
    <row r="136" customFormat="false" ht="13.8" hidden="false" customHeight="false" outlineLevel="0" collapsed="false">
      <c r="A136" s="0" t="str">
        <f aca="false">CONCATENATE("__import__.res_partner_",C136)</f>
        <v>__import__.res_partner_20000000199</v>
      </c>
      <c r="B136" s="2" t="s">
        <v>1291</v>
      </c>
      <c r="C136" s="3" t="s">
        <v>1292</v>
      </c>
      <c r="D136" s="2" t="s">
        <v>1293</v>
      </c>
      <c r="F136" s="2" t="s">
        <v>30</v>
      </c>
      <c r="G136" s="2" t="s">
        <v>31</v>
      </c>
      <c r="H136" s="2" t="s">
        <v>32</v>
      </c>
      <c r="K136" s="2" t="s">
        <v>1294</v>
      </c>
      <c r="L136" s="3" t="s">
        <v>993</v>
      </c>
      <c r="M136" s="2" t="s">
        <v>1295</v>
      </c>
      <c r="O136" s="2" t="s">
        <v>779</v>
      </c>
      <c r="P136" s="2" t="s">
        <v>37</v>
      </c>
      <c r="R136" s="2" t="s">
        <v>1296</v>
      </c>
      <c r="T136" s="2" t="s">
        <v>565</v>
      </c>
      <c r="X136" s="2" t="n">
        <v>199</v>
      </c>
      <c r="Y136" s="2" t="s">
        <v>1293</v>
      </c>
      <c r="Z136" s="3" t="s">
        <v>1297</v>
      </c>
    </row>
    <row r="137" customFormat="false" ht="13.8" hidden="false" customHeight="false" outlineLevel="0" collapsed="false">
      <c r="A137" s="0" t="str">
        <f aca="false">CONCATENATE("__import__.res_partner_",C137)</f>
        <v>__import__.res_partner_20000000200</v>
      </c>
      <c r="B137" s="2" t="s">
        <v>1298</v>
      </c>
      <c r="C137" s="3" t="s">
        <v>1299</v>
      </c>
      <c r="D137" s="2" t="s">
        <v>1300</v>
      </c>
      <c r="F137" s="2" t="s">
        <v>30</v>
      </c>
      <c r="G137" s="2" t="s">
        <v>31</v>
      </c>
      <c r="H137" s="2" t="s">
        <v>32</v>
      </c>
      <c r="K137" s="2" t="s">
        <v>1301</v>
      </c>
      <c r="L137" s="3" t="s">
        <v>1195</v>
      </c>
      <c r="M137" s="2" t="s">
        <v>1302</v>
      </c>
      <c r="O137" s="2" t="s">
        <v>1197</v>
      </c>
      <c r="P137" s="2" t="s">
        <v>37</v>
      </c>
      <c r="Q137" s="2" t="s">
        <v>1303</v>
      </c>
      <c r="R137" s="2" t="s">
        <v>1304</v>
      </c>
      <c r="T137" s="2" t="s">
        <v>40</v>
      </c>
      <c r="X137" s="2" t="n">
        <v>200</v>
      </c>
      <c r="Y137" s="2" t="s">
        <v>1300</v>
      </c>
      <c r="Z137" s="3" t="s">
        <v>1305</v>
      </c>
    </row>
    <row r="138" customFormat="false" ht="41.25" hidden="false" customHeight="false" outlineLevel="0" collapsed="false">
      <c r="A138" s="0" t="str">
        <f aca="false">CONCATENATE("__import__.res_partner_",C138)</f>
        <v>__import__.res_partner_20000000201</v>
      </c>
      <c r="B138" s="2" t="s">
        <v>1306</v>
      </c>
      <c r="C138" s="3" t="s">
        <v>1307</v>
      </c>
      <c r="D138" s="2" t="s">
        <v>1308</v>
      </c>
      <c r="F138" s="2" t="s">
        <v>30</v>
      </c>
      <c r="G138" s="2" t="s">
        <v>31</v>
      </c>
      <c r="H138" s="2" t="s">
        <v>32</v>
      </c>
      <c r="K138" s="2" t="s">
        <v>1309</v>
      </c>
      <c r="L138" s="3" t="s">
        <v>1310</v>
      </c>
      <c r="M138" s="2" t="s">
        <v>1311</v>
      </c>
      <c r="O138" s="2" t="s">
        <v>1312</v>
      </c>
      <c r="P138" s="2" t="s">
        <v>37</v>
      </c>
      <c r="Q138" s="2" t="s">
        <v>1313</v>
      </c>
      <c r="R138" s="3" t="s">
        <v>1314</v>
      </c>
      <c r="T138" s="2" t="s">
        <v>697</v>
      </c>
      <c r="X138" s="2" t="n">
        <v>201</v>
      </c>
      <c r="Y138" s="2" t="s">
        <v>1308</v>
      </c>
      <c r="Z138" s="3" t="s">
        <v>1315</v>
      </c>
      <c r="AA138" s="4" t="s">
        <v>1316</v>
      </c>
    </row>
    <row r="139" customFormat="false" ht="27.75" hidden="false" customHeight="false" outlineLevel="0" collapsed="false">
      <c r="A139" s="0" t="str">
        <f aca="false">CONCATENATE("__import__.res_partner_",C139)</f>
        <v>__import__.res_partner_20000000202</v>
      </c>
      <c r="B139" s="2" t="s">
        <v>1317</v>
      </c>
      <c r="C139" s="3" t="s">
        <v>1318</v>
      </c>
      <c r="D139" s="2" t="s">
        <v>1319</v>
      </c>
      <c r="F139" s="2" t="s">
        <v>30</v>
      </c>
      <c r="G139" s="2" t="s">
        <v>31</v>
      </c>
      <c r="H139" s="2" t="s">
        <v>32</v>
      </c>
      <c r="K139" s="2" t="s">
        <v>1320</v>
      </c>
      <c r="M139" s="2" t="s">
        <v>1321</v>
      </c>
      <c r="O139" s="2" t="s">
        <v>1322</v>
      </c>
      <c r="P139" s="2" t="s">
        <v>37</v>
      </c>
      <c r="Q139" s="2" t="s">
        <v>326</v>
      </c>
      <c r="R139" s="2" t="s">
        <v>1323</v>
      </c>
      <c r="T139" s="2" t="s">
        <v>1324</v>
      </c>
      <c r="X139" s="2" t="n">
        <v>202</v>
      </c>
      <c r="Y139" s="2" t="s">
        <v>1325</v>
      </c>
      <c r="Z139" s="3" t="s">
        <v>1326</v>
      </c>
      <c r="AA139" s="4" t="s">
        <v>1327</v>
      </c>
    </row>
    <row r="140" customFormat="false" ht="100.5" hidden="false" customHeight="false" outlineLevel="0" collapsed="false">
      <c r="A140" s="0" t="str">
        <f aca="false">CONCATENATE("__import__.res_partner_",C140)</f>
        <v>__import__.res_partner_20000000203</v>
      </c>
      <c r="B140" s="2" t="s">
        <v>1328</v>
      </c>
      <c r="C140" s="3" t="s">
        <v>1329</v>
      </c>
      <c r="D140" s="2" t="s">
        <v>1330</v>
      </c>
      <c r="F140" s="2" t="s">
        <v>30</v>
      </c>
      <c r="G140" s="2" t="s">
        <v>31</v>
      </c>
      <c r="H140" s="2" t="s">
        <v>32</v>
      </c>
      <c r="K140" s="2" t="s">
        <v>1331</v>
      </c>
      <c r="L140" s="3" t="s">
        <v>413</v>
      </c>
      <c r="M140" s="2" t="s">
        <v>1332</v>
      </c>
      <c r="O140" s="2" t="s">
        <v>1333</v>
      </c>
      <c r="P140" s="2" t="s">
        <v>37</v>
      </c>
      <c r="Q140" s="2" t="s">
        <v>1334</v>
      </c>
      <c r="R140" s="2" t="s">
        <v>417</v>
      </c>
      <c r="T140" s="2" t="s">
        <v>1209</v>
      </c>
      <c r="X140" s="2" t="n">
        <v>203</v>
      </c>
      <c r="Y140" s="2" t="s">
        <v>1330</v>
      </c>
      <c r="Z140" s="3" t="s">
        <v>1335</v>
      </c>
      <c r="AA140" s="4" t="s">
        <v>1336</v>
      </c>
    </row>
    <row r="141" customFormat="false" ht="13.8" hidden="false" customHeight="false" outlineLevel="0" collapsed="false">
      <c r="A141" s="0" t="str">
        <f aca="false">CONCATENATE("__import__.res_partner_",C141)</f>
        <v>__import__.res_partner_20000000204</v>
      </c>
      <c r="B141" s="2" t="s">
        <v>1337</v>
      </c>
      <c r="C141" s="3" t="s">
        <v>1338</v>
      </c>
      <c r="D141" s="2" t="s">
        <v>1339</v>
      </c>
      <c r="F141" s="2" t="s">
        <v>30</v>
      </c>
      <c r="G141" s="2" t="s">
        <v>31</v>
      </c>
      <c r="H141" s="2" t="s">
        <v>32</v>
      </c>
      <c r="K141" s="2" t="s">
        <v>1340</v>
      </c>
      <c r="L141" s="3" t="s">
        <v>1341</v>
      </c>
      <c r="M141" s="2" t="s">
        <v>1342</v>
      </c>
      <c r="O141" s="2" t="s">
        <v>827</v>
      </c>
      <c r="P141" s="2" t="s">
        <v>37</v>
      </c>
      <c r="R141" s="2" t="s">
        <v>1343</v>
      </c>
      <c r="T141" s="2" t="s">
        <v>97</v>
      </c>
      <c r="X141" s="2" t="n">
        <v>204</v>
      </c>
      <c r="Y141" s="2" t="s">
        <v>1339</v>
      </c>
      <c r="Z141" s="3" t="s">
        <v>1344</v>
      </c>
    </row>
    <row r="142" customFormat="false" ht="13.8" hidden="false" customHeight="false" outlineLevel="0" collapsed="false">
      <c r="A142" s="0" t="str">
        <f aca="false">CONCATENATE("__import__.res_partner_",C142)</f>
        <v>__import__.res_partner_20000000205</v>
      </c>
      <c r="B142" s="2" t="s">
        <v>1345</v>
      </c>
      <c r="C142" s="3" t="s">
        <v>1346</v>
      </c>
      <c r="D142" s="2" t="s">
        <v>1347</v>
      </c>
      <c r="F142" s="2" t="s">
        <v>30</v>
      </c>
      <c r="G142" s="2" t="s">
        <v>31</v>
      </c>
      <c r="H142" s="2" t="s">
        <v>32</v>
      </c>
      <c r="K142" s="2" t="s">
        <v>1348</v>
      </c>
      <c r="L142" s="3" t="s">
        <v>1349</v>
      </c>
      <c r="M142" s="2" t="s">
        <v>1350</v>
      </c>
      <c r="O142" s="2" t="s">
        <v>1351</v>
      </c>
      <c r="P142" s="2" t="s">
        <v>37</v>
      </c>
      <c r="Q142" s="2" t="s">
        <v>1352</v>
      </c>
      <c r="R142" s="2" t="s">
        <v>1353</v>
      </c>
      <c r="T142" s="2" t="s">
        <v>565</v>
      </c>
      <c r="X142" s="2" t="n">
        <v>205</v>
      </c>
      <c r="Y142" s="2" t="s">
        <v>1347</v>
      </c>
      <c r="Z142" s="3" t="s">
        <v>1354</v>
      </c>
    </row>
    <row r="143" customFormat="false" ht="27.75" hidden="false" customHeight="false" outlineLevel="0" collapsed="false">
      <c r="A143" s="0" t="str">
        <f aca="false">CONCATENATE("__import__.res_partner_",C143)</f>
        <v>__import__.res_partner_20000000206</v>
      </c>
      <c r="B143" s="2" t="s">
        <v>1355</v>
      </c>
      <c r="C143" s="3" t="s">
        <v>1356</v>
      </c>
      <c r="D143" s="2" t="s">
        <v>1357</v>
      </c>
      <c r="F143" s="2" t="s">
        <v>30</v>
      </c>
      <c r="G143" s="2" t="s">
        <v>31</v>
      </c>
      <c r="H143" s="2" t="s">
        <v>32</v>
      </c>
      <c r="K143" s="2" t="s">
        <v>1358</v>
      </c>
      <c r="L143" s="3" t="s">
        <v>1359</v>
      </c>
      <c r="M143" s="2" t="s">
        <v>1360</v>
      </c>
      <c r="O143" s="2" t="s">
        <v>49</v>
      </c>
      <c r="P143" s="2" t="s">
        <v>37</v>
      </c>
      <c r="Q143" s="2" t="s">
        <v>1361</v>
      </c>
      <c r="R143" s="2" t="s">
        <v>1362</v>
      </c>
      <c r="T143" s="2" t="s">
        <v>64</v>
      </c>
      <c r="X143" s="2" t="n">
        <v>206</v>
      </c>
      <c r="Y143" s="2" t="s">
        <v>1363</v>
      </c>
      <c r="Z143" s="3" t="s">
        <v>1364</v>
      </c>
      <c r="AA143" s="4" t="s">
        <v>1365</v>
      </c>
    </row>
    <row r="144" customFormat="false" ht="14.25" hidden="false" customHeight="false" outlineLevel="0" collapsed="false">
      <c r="A144" s="0" t="str">
        <f aca="false">CONCATENATE("__import__.res_partner_",C144)</f>
        <v>__import__.res_partner_20000000209</v>
      </c>
      <c r="B144" s="2" t="s">
        <v>1366</v>
      </c>
      <c r="C144" s="3" t="s">
        <v>1367</v>
      </c>
      <c r="D144" s="2" t="s">
        <v>1368</v>
      </c>
      <c r="F144" s="2" t="s">
        <v>30</v>
      </c>
      <c r="G144" s="2" t="s">
        <v>31</v>
      </c>
      <c r="H144" s="2" t="s">
        <v>32</v>
      </c>
      <c r="K144" s="2" t="s">
        <v>1369</v>
      </c>
      <c r="L144" s="3" t="s">
        <v>1370</v>
      </c>
      <c r="M144" s="2" t="s">
        <v>1371</v>
      </c>
      <c r="O144" s="2" t="s">
        <v>1372</v>
      </c>
      <c r="P144" s="2" t="s">
        <v>37</v>
      </c>
      <c r="Q144" s="2" t="s">
        <v>1373</v>
      </c>
      <c r="R144" s="3" t="s">
        <v>1374</v>
      </c>
      <c r="T144" s="2" t="s">
        <v>40</v>
      </c>
      <c r="X144" s="2" t="n">
        <v>209</v>
      </c>
      <c r="Y144" s="2" t="s">
        <v>1375</v>
      </c>
      <c r="Z144" s="3" t="s">
        <v>1376</v>
      </c>
      <c r="AA144" s="2" t="s">
        <v>1377</v>
      </c>
    </row>
    <row r="145" customFormat="false" ht="28.5" hidden="false" customHeight="false" outlineLevel="0" collapsed="false">
      <c r="A145" s="0" t="str">
        <f aca="false">CONCATENATE("__import__.res_partner_",C145)</f>
        <v>__import__.res_partner_20000000219</v>
      </c>
      <c r="B145" s="2" t="s">
        <v>1378</v>
      </c>
      <c r="C145" s="3" t="s">
        <v>1379</v>
      </c>
      <c r="D145" s="2" t="s">
        <v>1380</v>
      </c>
      <c r="F145" s="2" t="s">
        <v>30</v>
      </c>
      <c r="G145" s="2" t="s">
        <v>31</v>
      </c>
      <c r="H145" s="2" t="s">
        <v>32</v>
      </c>
      <c r="K145" s="2" t="s">
        <v>1381</v>
      </c>
      <c r="L145" s="3" t="s">
        <v>1382</v>
      </c>
      <c r="M145" s="2" t="s">
        <v>1383</v>
      </c>
      <c r="O145" s="2" t="s">
        <v>165</v>
      </c>
      <c r="P145" s="2" t="s">
        <v>37</v>
      </c>
      <c r="Q145" s="2" t="s">
        <v>1384</v>
      </c>
      <c r="R145" s="2" t="s">
        <v>1385</v>
      </c>
      <c r="T145" s="2" t="s">
        <v>40</v>
      </c>
      <c r="X145" s="2" t="n">
        <v>219</v>
      </c>
      <c r="Y145" s="2" t="s">
        <v>1386</v>
      </c>
      <c r="Z145" s="3" t="s">
        <v>1387</v>
      </c>
      <c r="AA145" s="4" t="s">
        <v>1388</v>
      </c>
    </row>
    <row r="146" customFormat="false" ht="13.8" hidden="false" customHeight="false" outlineLevel="0" collapsed="false">
      <c r="A146" s="0" t="str">
        <f aca="false">CONCATENATE("__import__.res_partner_",C146)</f>
        <v>__import__.res_partner_20000000221</v>
      </c>
      <c r="B146" s="2" t="s">
        <v>1389</v>
      </c>
      <c r="C146" s="3" t="s">
        <v>1390</v>
      </c>
      <c r="D146" s="2" t="s">
        <v>1391</v>
      </c>
      <c r="F146" s="2" t="s">
        <v>30</v>
      </c>
      <c r="G146" s="2" t="s">
        <v>31</v>
      </c>
      <c r="H146" s="2" t="s">
        <v>32</v>
      </c>
      <c r="K146" s="2" t="s">
        <v>1392</v>
      </c>
      <c r="L146" s="3" t="s">
        <v>1393</v>
      </c>
      <c r="M146" s="2" t="s">
        <v>1394</v>
      </c>
      <c r="O146" s="2" t="s">
        <v>1395</v>
      </c>
      <c r="P146" s="2" t="s">
        <v>37</v>
      </c>
      <c r="Q146" s="2" t="s">
        <v>1396</v>
      </c>
      <c r="R146" s="2" t="s">
        <v>1397</v>
      </c>
      <c r="T146" s="2" t="s">
        <v>697</v>
      </c>
      <c r="X146" s="2" t="n">
        <v>221</v>
      </c>
      <c r="Y146" s="2" t="s">
        <v>1398</v>
      </c>
      <c r="Z146" s="3" t="s">
        <v>1399</v>
      </c>
    </row>
    <row r="147" customFormat="false" ht="13.8" hidden="false" customHeight="false" outlineLevel="0" collapsed="false">
      <c r="A147" s="0" t="str">
        <f aca="false">CONCATENATE("__import__.res_partner_",C147)</f>
        <v>__import__.res_partner_20000000225</v>
      </c>
      <c r="B147" s="2" t="s">
        <v>1400</v>
      </c>
      <c r="C147" s="3" t="s">
        <v>1401</v>
      </c>
      <c r="D147" s="2" t="s">
        <v>1402</v>
      </c>
      <c r="F147" s="2" t="s">
        <v>30</v>
      </c>
      <c r="G147" s="2" t="s">
        <v>31</v>
      </c>
      <c r="H147" s="2" t="s">
        <v>32</v>
      </c>
      <c r="K147" s="2" t="s">
        <v>1403</v>
      </c>
      <c r="L147" s="3" t="s">
        <v>1404</v>
      </c>
      <c r="M147" s="2" t="s">
        <v>1405</v>
      </c>
      <c r="O147" s="2" t="s">
        <v>1406</v>
      </c>
      <c r="P147" s="2" t="s">
        <v>37</v>
      </c>
      <c r="Q147" s="2" t="s">
        <v>512</v>
      </c>
      <c r="R147" s="2" t="s">
        <v>1407</v>
      </c>
      <c r="T147" s="2" t="s">
        <v>64</v>
      </c>
      <c r="X147" s="2" t="n">
        <v>225</v>
      </c>
      <c r="Y147" s="2" t="s">
        <v>1408</v>
      </c>
      <c r="Z147" s="3" t="s">
        <v>1409</v>
      </c>
    </row>
    <row r="148" customFormat="false" ht="105.95" hidden="false" customHeight="false" outlineLevel="0" collapsed="false">
      <c r="A148" s="0" t="str">
        <f aca="false">CONCATENATE("__import__.res_partner_",C148)</f>
        <v>__import__.res_partner_20000000228</v>
      </c>
      <c r="B148" s="2" t="s">
        <v>1410</v>
      </c>
      <c r="C148" s="3" t="s">
        <v>1411</v>
      </c>
      <c r="D148" s="2" t="s">
        <v>1412</v>
      </c>
      <c r="F148" s="2" t="s">
        <v>30</v>
      </c>
      <c r="G148" s="2" t="s">
        <v>31</v>
      </c>
      <c r="H148" s="2" t="s">
        <v>32</v>
      </c>
      <c r="K148" s="2" t="s">
        <v>722</v>
      </c>
      <c r="L148" s="3" t="s">
        <v>1413</v>
      </c>
      <c r="M148" s="2" t="s">
        <v>1414</v>
      </c>
      <c r="N148" s="2" t="s">
        <v>1415</v>
      </c>
      <c r="O148" s="2" t="s">
        <v>1416</v>
      </c>
      <c r="P148" s="2" t="s">
        <v>37</v>
      </c>
      <c r="Q148" s="2" t="s">
        <v>1417</v>
      </c>
      <c r="R148" s="2" t="s">
        <v>1418</v>
      </c>
      <c r="T148" s="2" t="s">
        <v>40</v>
      </c>
      <c r="V148" s="2" t="s">
        <v>1419</v>
      </c>
      <c r="W148" s="2" t="s">
        <v>1420</v>
      </c>
      <c r="X148" s="2" t="n">
        <v>228</v>
      </c>
      <c r="Y148" s="2" t="s">
        <v>1408</v>
      </c>
      <c r="Z148" s="3" t="s">
        <v>1421</v>
      </c>
      <c r="AA148" s="4" t="s">
        <v>1422</v>
      </c>
    </row>
    <row r="149" customFormat="false" ht="13.8" hidden="false" customHeight="false" outlineLevel="0" collapsed="false">
      <c r="A149" s="0" t="str">
        <f aca="false">CONCATENATE("__import__.res_partner_",C149)</f>
        <v>__import__.res_partner_20000000229</v>
      </c>
      <c r="B149" s="2" t="s">
        <v>1423</v>
      </c>
      <c r="C149" s="3" t="s">
        <v>1424</v>
      </c>
      <c r="D149" s="2" t="s">
        <v>1425</v>
      </c>
      <c r="F149" s="2" t="s">
        <v>30</v>
      </c>
      <c r="G149" s="2" t="s">
        <v>31</v>
      </c>
      <c r="H149" s="2" t="s">
        <v>32</v>
      </c>
      <c r="K149" s="2" t="s">
        <v>1426</v>
      </c>
      <c r="L149" s="3" t="s">
        <v>1359</v>
      </c>
      <c r="M149" s="2" t="s">
        <v>1427</v>
      </c>
      <c r="O149" s="2" t="s">
        <v>49</v>
      </c>
      <c r="P149" s="2" t="s">
        <v>37</v>
      </c>
      <c r="R149" s="2" t="s">
        <v>1428</v>
      </c>
      <c r="T149" s="2" t="s">
        <v>40</v>
      </c>
      <c r="X149" s="2" t="n">
        <v>229</v>
      </c>
      <c r="Y149" s="2" t="s">
        <v>1425</v>
      </c>
      <c r="Z149" s="3" t="s">
        <v>1429</v>
      </c>
    </row>
    <row r="150" customFormat="false" ht="13.8" hidden="false" customHeight="false" outlineLevel="0" collapsed="false">
      <c r="A150" s="0" t="str">
        <f aca="false">CONCATENATE("__import__.res_partner_",C150)</f>
        <v>__import__.res_partner_20000000230</v>
      </c>
      <c r="B150" s="2" t="s">
        <v>1430</v>
      </c>
      <c r="C150" s="3" t="s">
        <v>1431</v>
      </c>
      <c r="D150" s="2" t="s">
        <v>1432</v>
      </c>
      <c r="F150" s="2" t="s">
        <v>30</v>
      </c>
      <c r="G150" s="2" t="s">
        <v>31</v>
      </c>
      <c r="H150" s="2" t="s">
        <v>32</v>
      </c>
      <c r="K150" s="2" t="s">
        <v>1433</v>
      </c>
      <c r="L150" s="3" t="s">
        <v>1434</v>
      </c>
      <c r="M150" s="2" t="s">
        <v>1435</v>
      </c>
      <c r="O150" s="2" t="s">
        <v>36</v>
      </c>
      <c r="P150" s="2" t="s">
        <v>37</v>
      </c>
      <c r="R150" s="2" t="s">
        <v>1436</v>
      </c>
      <c r="T150" s="2" t="s">
        <v>1437</v>
      </c>
      <c r="X150" s="2" t="n">
        <v>230</v>
      </c>
      <c r="Y150" s="2" t="s">
        <v>1432</v>
      </c>
      <c r="Z150" s="3" t="s">
        <v>1438</v>
      </c>
    </row>
    <row r="151" customFormat="false" ht="13.8" hidden="false" customHeight="false" outlineLevel="0" collapsed="false">
      <c r="A151" s="0" t="str">
        <f aca="false">CONCATENATE("__import__.res_partner_",C151)</f>
        <v>__import__.res_partner_20000000231</v>
      </c>
      <c r="B151" s="2" t="s">
        <v>1439</v>
      </c>
      <c r="C151" s="3" t="s">
        <v>1440</v>
      </c>
      <c r="D151" s="2" t="s">
        <v>1441</v>
      </c>
      <c r="F151" s="2" t="s">
        <v>30</v>
      </c>
      <c r="G151" s="2" t="s">
        <v>31</v>
      </c>
      <c r="H151" s="2" t="s">
        <v>32</v>
      </c>
      <c r="K151" s="2" t="s">
        <v>1442</v>
      </c>
      <c r="L151" s="3" t="s">
        <v>1443</v>
      </c>
      <c r="M151" s="2" t="s">
        <v>1444</v>
      </c>
      <c r="O151" s="2" t="s">
        <v>1445</v>
      </c>
      <c r="P151" s="2" t="s">
        <v>37</v>
      </c>
      <c r="R151" s="3" t="s">
        <v>1446</v>
      </c>
      <c r="T151" s="2" t="s">
        <v>97</v>
      </c>
      <c r="X151" s="2" t="n">
        <v>231</v>
      </c>
      <c r="Y151" s="2" t="s">
        <v>1441</v>
      </c>
      <c r="Z151" s="3" t="s">
        <v>1447</v>
      </c>
    </row>
    <row r="152" customFormat="false" ht="13.8" hidden="false" customHeight="false" outlineLevel="0" collapsed="false">
      <c r="A152" s="0" t="str">
        <f aca="false">CONCATENATE("__import__.res_partner_",C152)</f>
        <v>__import__.res_partner_20000000233</v>
      </c>
      <c r="B152" s="2" t="s">
        <v>1448</v>
      </c>
      <c r="C152" s="3" t="s">
        <v>1449</v>
      </c>
      <c r="D152" s="2" t="s">
        <v>1450</v>
      </c>
      <c r="F152" s="2" t="s">
        <v>30</v>
      </c>
      <c r="G152" s="2" t="s">
        <v>31</v>
      </c>
      <c r="H152" s="2" t="s">
        <v>32</v>
      </c>
      <c r="K152" s="2" t="s">
        <v>1451</v>
      </c>
      <c r="L152" s="3" t="s">
        <v>1452</v>
      </c>
      <c r="M152" s="2" t="s">
        <v>1453</v>
      </c>
      <c r="O152" s="2" t="s">
        <v>1454</v>
      </c>
      <c r="P152" s="2" t="s">
        <v>37</v>
      </c>
      <c r="R152" s="2" t="s">
        <v>1455</v>
      </c>
      <c r="T152" s="2" t="s">
        <v>40</v>
      </c>
      <c r="X152" s="2" t="n">
        <v>233</v>
      </c>
      <c r="Y152" s="2" t="s">
        <v>1450</v>
      </c>
      <c r="Z152" s="3" t="s">
        <v>1456</v>
      </c>
    </row>
    <row r="153" customFormat="false" ht="13.8" hidden="false" customHeight="false" outlineLevel="0" collapsed="false">
      <c r="A153" s="0" t="str">
        <f aca="false">CONCATENATE("__import__.res_partner_",C153)</f>
        <v>__import__.res_partner_20000000234</v>
      </c>
      <c r="B153" s="2" t="s">
        <v>1457</v>
      </c>
      <c r="C153" s="3" t="s">
        <v>1458</v>
      </c>
      <c r="D153" s="2" t="s">
        <v>1459</v>
      </c>
      <c r="F153" s="2" t="s">
        <v>30</v>
      </c>
      <c r="G153" s="2" t="s">
        <v>31</v>
      </c>
      <c r="H153" s="2" t="s">
        <v>32</v>
      </c>
      <c r="K153" s="2" t="s">
        <v>1460</v>
      </c>
      <c r="L153" s="3" t="s">
        <v>1461</v>
      </c>
      <c r="M153" s="2" t="s">
        <v>1462</v>
      </c>
      <c r="O153" s="2" t="s">
        <v>61</v>
      </c>
      <c r="P153" s="2" t="s">
        <v>37</v>
      </c>
      <c r="R153" s="2" t="s">
        <v>1463</v>
      </c>
      <c r="T153" s="2" t="s">
        <v>40</v>
      </c>
      <c r="X153" s="2" t="n">
        <v>234</v>
      </c>
      <c r="Y153" s="2" t="s">
        <v>1459</v>
      </c>
      <c r="Z153" s="3" t="s">
        <v>1464</v>
      </c>
    </row>
    <row r="154" customFormat="false" ht="13.8" hidden="false" customHeight="false" outlineLevel="0" collapsed="false">
      <c r="A154" s="0" t="str">
        <f aca="false">CONCATENATE("__import__.res_partner_",C154)</f>
        <v>__import__.res_partner_20000000235</v>
      </c>
      <c r="B154" s="2" t="s">
        <v>1465</v>
      </c>
      <c r="C154" s="3" t="s">
        <v>1466</v>
      </c>
      <c r="D154" s="2" t="s">
        <v>1467</v>
      </c>
      <c r="F154" s="2" t="s">
        <v>30</v>
      </c>
      <c r="G154" s="2" t="s">
        <v>31</v>
      </c>
      <c r="H154" s="2" t="s">
        <v>32</v>
      </c>
      <c r="K154" s="2" t="s">
        <v>1468</v>
      </c>
      <c r="L154" s="3" t="s">
        <v>1469</v>
      </c>
      <c r="M154" s="2" t="s">
        <v>1470</v>
      </c>
      <c r="O154" s="2" t="s">
        <v>1471</v>
      </c>
      <c r="P154" s="2" t="s">
        <v>37</v>
      </c>
      <c r="R154" s="3" t="s">
        <v>1472</v>
      </c>
      <c r="T154" s="2" t="s">
        <v>40</v>
      </c>
      <c r="X154" s="2" t="n">
        <v>235</v>
      </c>
      <c r="Y154" s="2" t="s">
        <v>1467</v>
      </c>
      <c r="Z154" s="3" t="s">
        <v>1473</v>
      </c>
    </row>
    <row r="155" customFormat="false" ht="13.8" hidden="false" customHeight="false" outlineLevel="0" collapsed="false">
      <c r="A155" s="0" t="str">
        <f aca="false">CONCATENATE("__import__.res_partner_",C155)</f>
        <v>__import__.res_partner_20000000239</v>
      </c>
      <c r="B155" s="2" t="s">
        <v>1474</v>
      </c>
      <c r="C155" s="3" t="s">
        <v>1475</v>
      </c>
      <c r="D155" s="2" t="s">
        <v>1476</v>
      </c>
      <c r="F155" s="3" t="s">
        <v>557</v>
      </c>
      <c r="G155" s="2" t="s">
        <v>31</v>
      </c>
      <c r="H155" s="2" t="s">
        <v>32</v>
      </c>
      <c r="K155" s="2" t="s">
        <v>1477</v>
      </c>
      <c r="L155" s="2" t="s">
        <v>1478</v>
      </c>
      <c r="M155" s="2" t="s">
        <v>1479</v>
      </c>
      <c r="O155" s="2" t="s">
        <v>1480</v>
      </c>
      <c r="P155" s="2" t="s">
        <v>675</v>
      </c>
      <c r="Q155" s="2" t="s">
        <v>1481</v>
      </c>
      <c r="R155" s="3" t="s">
        <v>1482</v>
      </c>
      <c r="T155" s="2" t="s">
        <v>40</v>
      </c>
      <c r="X155" s="2" t="n">
        <v>239</v>
      </c>
      <c r="Y155" s="2" t="s">
        <v>1476</v>
      </c>
      <c r="Z155" s="3" t="s">
        <v>1483</v>
      </c>
    </row>
    <row r="156" customFormat="false" ht="13.8" hidden="false" customHeight="false" outlineLevel="0" collapsed="false">
      <c r="A156" s="0" t="str">
        <f aca="false">CONCATENATE("__import__.res_partner_",C156)</f>
        <v>__import__.res_partner_20000000240</v>
      </c>
      <c r="B156" s="2" t="s">
        <v>1484</v>
      </c>
      <c r="C156" s="3" t="s">
        <v>1485</v>
      </c>
      <c r="D156" s="2" t="s">
        <v>1486</v>
      </c>
      <c r="F156" s="2" t="s">
        <v>30</v>
      </c>
      <c r="G156" s="2" t="s">
        <v>31</v>
      </c>
      <c r="H156" s="2" t="s">
        <v>32</v>
      </c>
      <c r="K156" s="2" t="s">
        <v>1487</v>
      </c>
      <c r="L156" s="3" t="s">
        <v>1488</v>
      </c>
      <c r="M156" s="2" t="s">
        <v>1489</v>
      </c>
      <c r="O156" s="2" t="s">
        <v>1490</v>
      </c>
      <c r="P156" s="2" t="s">
        <v>37</v>
      </c>
      <c r="Q156" s="2" t="s">
        <v>1491</v>
      </c>
      <c r="R156" s="2" t="s">
        <v>1492</v>
      </c>
      <c r="T156" s="2" t="s">
        <v>40</v>
      </c>
      <c r="X156" s="2" t="n">
        <v>240</v>
      </c>
      <c r="Y156" s="2" t="s">
        <v>1486</v>
      </c>
      <c r="Z156" s="3" t="s">
        <v>1493</v>
      </c>
    </row>
    <row r="157" customFormat="false" ht="13.8" hidden="false" customHeight="false" outlineLevel="0" collapsed="false">
      <c r="A157" s="0" t="str">
        <f aca="false">CONCATENATE("__import__.res_partner_",C157)</f>
        <v>__import__.res_partner_20000000242</v>
      </c>
      <c r="B157" s="2" t="s">
        <v>1494</v>
      </c>
      <c r="C157" s="3" t="s">
        <v>1495</v>
      </c>
      <c r="D157" s="2" t="s">
        <v>1496</v>
      </c>
      <c r="F157" s="2" t="s">
        <v>30</v>
      </c>
      <c r="G157" s="2" t="s">
        <v>31</v>
      </c>
      <c r="H157" s="2" t="s">
        <v>32</v>
      </c>
      <c r="K157" s="2" t="s">
        <v>1497</v>
      </c>
      <c r="L157" s="3" t="s">
        <v>1498</v>
      </c>
      <c r="M157" s="2" t="s">
        <v>1499</v>
      </c>
      <c r="O157" s="2" t="s">
        <v>1500</v>
      </c>
      <c r="P157" s="2" t="s">
        <v>37</v>
      </c>
      <c r="R157" s="2" t="s">
        <v>1501</v>
      </c>
      <c r="T157" s="2" t="s">
        <v>40</v>
      </c>
      <c r="X157" s="2" t="n">
        <v>242</v>
      </c>
      <c r="Y157" s="2" t="s">
        <v>1496</v>
      </c>
      <c r="Z157" s="3" t="s">
        <v>1502</v>
      </c>
    </row>
    <row r="158" customFormat="false" ht="13.8" hidden="false" customHeight="false" outlineLevel="0" collapsed="false">
      <c r="A158" s="0" t="str">
        <f aca="false">CONCATENATE("__import__.res_partner_",C158)</f>
        <v>__import__.res_partner_20000000243</v>
      </c>
      <c r="B158" s="2" t="s">
        <v>1503</v>
      </c>
      <c r="C158" s="3" t="s">
        <v>1504</v>
      </c>
      <c r="D158" s="2" t="s">
        <v>1505</v>
      </c>
      <c r="F158" s="2" t="s">
        <v>30</v>
      </c>
      <c r="G158" s="2" t="s">
        <v>31</v>
      </c>
      <c r="H158" s="2" t="s">
        <v>32</v>
      </c>
      <c r="K158" s="2" t="s">
        <v>1506</v>
      </c>
      <c r="L158" s="3" t="s">
        <v>1507</v>
      </c>
      <c r="M158" s="2" t="s">
        <v>1508</v>
      </c>
      <c r="O158" s="2" t="s">
        <v>1509</v>
      </c>
      <c r="P158" s="2" t="s">
        <v>37</v>
      </c>
      <c r="Q158" s="2" t="s">
        <v>512</v>
      </c>
      <c r="R158" s="2" t="s">
        <v>1510</v>
      </c>
      <c r="T158" s="2" t="s">
        <v>40</v>
      </c>
      <c r="X158" s="2" t="n">
        <v>243</v>
      </c>
      <c r="Y158" s="2" t="s">
        <v>1511</v>
      </c>
      <c r="Z158" s="3" t="s">
        <v>1512</v>
      </c>
      <c r="AA158" s="2" t="s">
        <v>1513</v>
      </c>
    </row>
    <row r="159" customFormat="false" ht="13.8" hidden="false" customHeight="false" outlineLevel="0" collapsed="false">
      <c r="A159" s="0" t="str">
        <f aca="false">CONCATENATE("__import__.res_partner_",C159)</f>
        <v>__import__.res_partner_20000000244</v>
      </c>
      <c r="B159" s="2" t="s">
        <v>1514</v>
      </c>
      <c r="C159" s="3" t="s">
        <v>1515</v>
      </c>
      <c r="D159" s="2" t="s">
        <v>1516</v>
      </c>
      <c r="F159" s="2" t="s">
        <v>30</v>
      </c>
      <c r="G159" s="2" t="s">
        <v>31</v>
      </c>
      <c r="H159" s="2" t="s">
        <v>32</v>
      </c>
      <c r="K159" s="2" t="s">
        <v>1517</v>
      </c>
      <c r="L159" s="3" t="s">
        <v>1518</v>
      </c>
      <c r="M159" s="2" t="s">
        <v>1519</v>
      </c>
      <c r="O159" s="2" t="s">
        <v>1520</v>
      </c>
      <c r="P159" s="2" t="s">
        <v>37</v>
      </c>
      <c r="Q159" s="2" t="s">
        <v>1521</v>
      </c>
      <c r="R159" s="3" t="s">
        <v>1522</v>
      </c>
      <c r="T159" s="2" t="s">
        <v>40</v>
      </c>
      <c r="X159" s="2" t="n">
        <v>244</v>
      </c>
      <c r="Y159" s="2" t="s">
        <v>1516</v>
      </c>
      <c r="Z159" s="3" t="s">
        <v>1523</v>
      </c>
      <c r="AA159" s="2" t="s">
        <v>1524</v>
      </c>
    </row>
    <row r="160" customFormat="false" ht="13.8" hidden="false" customHeight="false" outlineLevel="0" collapsed="false">
      <c r="A160" s="0" t="str">
        <f aca="false">CONCATENATE("__import__.res_partner_",C160)</f>
        <v>__import__.res_partner_20000000246</v>
      </c>
      <c r="B160" s="2" t="s">
        <v>1525</v>
      </c>
      <c r="C160" s="3" t="s">
        <v>1526</v>
      </c>
      <c r="D160" s="2" t="s">
        <v>1527</v>
      </c>
      <c r="F160" s="2" t="s">
        <v>30</v>
      </c>
      <c r="G160" s="2" t="s">
        <v>31</v>
      </c>
      <c r="H160" s="2" t="s">
        <v>32</v>
      </c>
      <c r="K160" s="2" t="s">
        <v>1528</v>
      </c>
      <c r="L160" s="3" t="s">
        <v>1529</v>
      </c>
      <c r="M160" s="2" t="s">
        <v>1530</v>
      </c>
      <c r="O160" s="2" t="s">
        <v>1531</v>
      </c>
      <c r="P160" s="2" t="s">
        <v>37</v>
      </c>
      <c r="R160" s="3" t="s">
        <v>1532</v>
      </c>
      <c r="T160" s="2" t="s">
        <v>76</v>
      </c>
      <c r="X160" s="2" t="n">
        <v>246</v>
      </c>
      <c r="Y160" s="2" t="s">
        <v>1527</v>
      </c>
      <c r="Z160" s="3" t="s">
        <v>1533</v>
      </c>
    </row>
    <row r="161" customFormat="false" ht="13.8" hidden="false" customHeight="false" outlineLevel="0" collapsed="false">
      <c r="A161" s="0" t="str">
        <f aca="false">CONCATENATE("__import__.res_partner_",C161)</f>
        <v>__import__.res_partner_20000000247</v>
      </c>
      <c r="B161" s="2" t="s">
        <v>1534</v>
      </c>
      <c r="C161" s="3" t="s">
        <v>1535</v>
      </c>
      <c r="D161" s="2" t="s">
        <v>1536</v>
      </c>
      <c r="F161" s="2" t="s">
        <v>30</v>
      </c>
      <c r="G161" s="2" t="s">
        <v>31</v>
      </c>
      <c r="H161" s="2" t="s">
        <v>32</v>
      </c>
      <c r="K161" s="2" t="s">
        <v>1537</v>
      </c>
      <c r="L161" s="3" t="s">
        <v>1538</v>
      </c>
      <c r="M161" s="2" t="s">
        <v>1539</v>
      </c>
      <c r="O161" s="2" t="s">
        <v>1540</v>
      </c>
      <c r="P161" s="2" t="s">
        <v>37</v>
      </c>
      <c r="R161" s="2" t="s">
        <v>1541</v>
      </c>
      <c r="T161" s="2" t="s">
        <v>40</v>
      </c>
      <c r="X161" s="2" t="n">
        <v>247</v>
      </c>
      <c r="Y161" s="2" t="s">
        <v>1536</v>
      </c>
      <c r="Z161" s="3" t="s">
        <v>1542</v>
      </c>
    </row>
    <row r="162" customFormat="false" ht="13.8" hidden="false" customHeight="false" outlineLevel="0" collapsed="false">
      <c r="A162" s="0" t="str">
        <f aca="false">CONCATENATE("__import__.res_partner_",C162)</f>
        <v>__import__.res_partner_20000000248</v>
      </c>
      <c r="B162" s="2" t="s">
        <v>1543</v>
      </c>
      <c r="C162" s="3" t="s">
        <v>1544</v>
      </c>
      <c r="D162" s="2" t="s">
        <v>1545</v>
      </c>
      <c r="F162" s="2" t="s">
        <v>30</v>
      </c>
      <c r="G162" s="2" t="s">
        <v>31</v>
      </c>
      <c r="H162" s="2" t="s">
        <v>32</v>
      </c>
      <c r="K162" s="2" t="s">
        <v>1546</v>
      </c>
      <c r="L162" s="3" t="s">
        <v>985</v>
      </c>
      <c r="M162" s="2" t="s">
        <v>1547</v>
      </c>
      <c r="O162" s="2" t="s">
        <v>49</v>
      </c>
      <c r="P162" s="2" t="s">
        <v>37</v>
      </c>
      <c r="R162" s="2" t="s">
        <v>1548</v>
      </c>
      <c r="T162" s="2" t="s">
        <v>40</v>
      </c>
      <c r="X162" s="2" t="n">
        <v>248</v>
      </c>
      <c r="Y162" s="2" t="s">
        <v>1545</v>
      </c>
      <c r="Z162" s="3" t="s">
        <v>1549</v>
      </c>
    </row>
    <row r="163" customFormat="false" ht="13.8" hidden="false" customHeight="false" outlineLevel="0" collapsed="false">
      <c r="A163" s="0" t="str">
        <f aca="false">CONCATENATE("__import__.res_partner_",C163)</f>
        <v>__import__.res_partner_20000000250</v>
      </c>
      <c r="B163" s="2" t="s">
        <v>1550</v>
      </c>
      <c r="C163" s="3" t="s">
        <v>1551</v>
      </c>
      <c r="D163" s="2" t="s">
        <v>1552</v>
      </c>
      <c r="F163" s="2" t="s">
        <v>30</v>
      </c>
      <c r="G163" s="2" t="s">
        <v>31</v>
      </c>
      <c r="H163" s="2" t="s">
        <v>32</v>
      </c>
      <c r="K163" s="2" t="s">
        <v>1553</v>
      </c>
      <c r="L163" s="3" t="s">
        <v>1554</v>
      </c>
      <c r="M163" s="2" t="s">
        <v>1555</v>
      </c>
      <c r="O163" s="2" t="s">
        <v>1556</v>
      </c>
      <c r="P163" s="2" t="s">
        <v>37</v>
      </c>
      <c r="R163" s="3" t="s">
        <v>1557</v>
      </c>
      <c r="T163" s="2" t="s">
        <v>40</v>
      </c>
      <c r="X163" s="2" t="n">
        <v>250</v>
      </c>
      <c r="Y163" s="2" t="s">
        <v>1552</v>
      </c>
      <c r="Z163" s="3" t="s">
        <v>1558</v>
      </c>
    </row>
    <row r="164" customFormat="false" ht="13.8" hidden="false" customHeight="false" outlineLevel="0" collapsed="false">
      <c r="A164" s="0" t="str">
        <f aca="false">CONCATENATE("__import__.res_partner_",C164)</f>
        <v>__import__.res_partner_20000000251</v>
      </c>
      <c r="B164" s="2" t="s">
        <v>1559</v>
      </c>
      <c r="C164" s="3" t="s">
        <v>1560</v>
      </c>
      <c r="D164" s="2" t="s">
        <v>1561</v>
      </c>
      <c r="F164" s="2" t="s">
        <v>30</v>
      </c>
      <c r="G164" s="2" t="s">
        <v>31</v>
      </c>
      <c r="H164" s="2" t="s">
        <v>32</v>
      </c>
      <c r="K164" s="2" t="s">
        <v>1562</v>
      </c>
      <c r="L164" s="3" t="s">
        <v>1563</v>
      </c>
      <c r="M164" s="2" t="s">
        <v>1564</v>
      </c>
      <c r="O164" s="2" t="s">
        <v>1565</v>
      </c>
      <c r="P164" s="2" t="s">
        <v>37</v>
      </c>
      <c r="Q164" s="2" t="s">
        <v>1566</v>
      </c>
      <c r="R164" s="2" t="s">
        <v>1567</v>
      </c>
      <c r="T164" s="2" t="s">
        <v>40</v>
      </c>
      <c r="X164" s="2" t="n">
        <v>251</v>
      </c>
      <c r="Y164" s="2" t="s">
        <v>1561</v>
      </c>
      <c r="Z164" s="3" t="s">
        <v>1568</v>
      </c>
    </row>
    <row r="165" customFormat="false" ht="13.8" hidden="false" customHeight="false" outlineLevel="0" collapsed="false">
      <c r="A165" s="0" t="str">
        <f aca="false">CONCATENATE("__import__.res_partner_",C165)</f>
        <v>__import__.res_partner_20000000252</v>
      </c>
      <c r="B165" s="2" t="s">
        <v>1569</v>
      </c>
      <c r="C165" s="3" t="s">
        <v>1570</v>
      </c>
      <c r="D165" s="2" t="s">
        <v>1571</v>
      </c>
      <c r="F165" s="2" t="s">
        <v>30</v>
      </c>
      <c r="G165" s="2" t="s">
        <v>31</v>
      </c>
      <c r="H165" s="2" t="s">
        <v>32</v>
      </c>
      <c r="K165" s="2" t="s">
        <v>1572</v>
      </c>
      <c r="L165" s="3" t="s">
        <v>1573</v>
      </c>
      <c r="M165" s="2" t="s">
        <v>1574</v>
      </c>
      <c r="O165" s="2" t="s">
        <v>1575</v>
      </c>
      <c r="P165" s="2" t="s">
        <v>37</v>
      </c>
      <c r="Q165" s="2" t="s">
        <v>1576</v>
      </c>
      <c r="R165" s="3" t="s">
        <v>1577</v>
      </c>
      <c r="T165" s="2" t="s">
        <v>40</v>
      </c>
      <c r="X165" s="2" t="n">
        <v>252</v>
      </c>
      <c r="Y165" s="2" t="s">
        <v>1578</v>
      </c>
      <c r="Z165" s="3" t="s">
        <v>1579</v>
      </c>
    </row>
    <row r="166" customFormat="false" ht="13.8" hidden="false" customHeight="false" outlineLevel="0" collapsed="false">
      <c r="A166" s="0" t="str">
        <f aca="false">CONCATENATE("__import__.res_partner_",C166)</f>
        <v>__import__.res_partner_20000000254</v>
      </c>
      <c r="B166" s="2" t="s">
        <v>1580</v>
      </c>
      <c r="C166" s="3" t="s">
        <v>1581</v>
      </c>
      <c r="D166" s="2" t="s">
        <v>1582</v>
      </c>
      <c r="F166" s="2" t="s">
        <v>30</v>
      </c>
      <c r="G166" s="2" t="s">
        <v>31</v>
      </c>
      <c r="H166" s="2" t="s">
        <v>32</v>
      </c>
      <c r="K166" s="2" t="s">
        <v>1583</v>
      </c>
      <c r="L166" s="3" t="s">
        <v>1149</v>
      </c>
      <c r="M166" s="2" t="s">
        <v>1584</v>
      </c>
      <c r="O166" s="2" t="s">
        <v>1585</v>
      </c>
      <c r="P166" s="2" t="s">
        <v>37</v>
      </c>
      <c r="R166" s="2" t="s">
        <v>1586</v>
      </c>
      <c r="T166" s="2" t="s">
        <v>40</v>
      </c>
      <c r="X166" s="2" t="n">
        <v>254</v>
      </c>
      <c r="Y166" s="2" t="s">
        <v>1582</v>
      </c>
      <c r="Z166" s="3" t="s">
        <v>1587</v>
      </c>
    </row>
    <row r="167" customFormat="false" ht="13.8" hidden="false" customHeight="false" outlineLevel="0" collapsed="false">
      <c r="A167" s="0" t="str">
        <f aca="false">CONCATENATE("__import__.res_partner_",C167)</f>
        <v>__import__.res_partner_20000000255</v>
      </c>
      <c r="B167" s="2" t="s">
        <v>1588</v>
      </c>
      <c r="C167" s="3" t="s">
        <v>1589</v>
      </c>
      <c r="D167" s="2" t="s">
        <v>1590</v>
      </c>
      <c r="F167" s="2" t="s">
        <v>30</v>
      </c>
      <c r="G167" s="2" t="s">
        <v>31</v>
      </c>
      <c r="H167" s="2" t="s">
        <v>32</v>
      </c>
      <c r="K167" s="2" t="s">
        <v>1591</v>
      </c>
      <c r="L167" s="3" t="s">
        <v>1592</v>
      </c>
      <c r="M167" s="2" t="s">
        <v>1593</v>
      </c>
      <c r="O167" s="2" t="s">
        <v>1594</v>
      </c>
      <c r="P167" s="2" t="s">
        <v>37</v>
      </c>
      <c r="Q167" s="2" t="s">
        <v>1595</v>
      </c>
      <c r="R167" s="3" t="s">
        <v>1596</v>
      </c>
      <c r="T167" s="2" t="s">
        <v>76</v>
      </c>
      <c r="X167" s="2" t="n">
        <v>255</v>
      </c>
      <c r="Y167" s="2" t="s">
        <v>1590</v>
      </c>
      <c r="Z167" s="3" t="s">
        <v>1597</v>
      </c>
    </row>
    <row r="168" customFormat="false" ht="13.8" hidden="false" customHeight="false" outlineLevel="0" collapsed="false">
      <c r="A168" s="0" t="str">
        <f aca="false">CONCATENATE("__import__.res_partner_",C168)</f>
        <v>__import__.res_partner_20000000256</v>
      </c>
      <c r="B168" s="2" t="s">
        <v>1598</v>
      </c>
      <c r="C168" s="3" t="s">
        <v>1599</v>
      </c>
      <c r="D168" s="2" t="s">
        <v>1600</v>
      </c>
      <c r="F168" s="2" t="s">
        <v>30</v>
      </c>
      <c r="G168" s="2" t="s">
        <v>31</v>
      </c>
      <c r="H168" s="2" t="s">
        <v>32</v>
      </c>
      <c r="K168" s="2" t="s">
        <v>1601</v>
      </c>
      <c r="L168" s="3" t="s">
        <v>1602</v>
      </c>
      <c r="M168" s="2" t="s">
        <v>1603</v>
      </c>
      <c r="O168" s="2" t="s">
        <v>1604</v>
      </c>
      <c r="P168" s="2" t="s">
        <v>37</v>
      </c>
      <c r="Q168" s="2" t="s">
        <v>1605</v>
      </c>
      <c r="R168" s="2" t="s">
        <v>1606</v>
      </c>
      <c r="T168" s="2" t="s">
        <v>40</v>
      </c>
      <c r="X168" s="2" t="n">
        <v>256</v>
      </c>
      <c r="Y168" s="2" t="s">
        <v>1600</v>
      </c>
      <c r="Z168" s="3" t="s">
        <v>1607</v>
      </c>
    </row>
    <row r="169" customFormat="false" ht="13.8" hidden="false" customHeight="false" outlineLevel="0" collapsed="false">
      <c r="A169" s="0" t="str">
        <f aca="false">CONCATENATE("__import__.res_partner_",C169)</f>
        <v>__import__.res_partner_20000000257</v>
      </c>
      <c r="B169" s="2" t="s">
        <v>1608</v>
      </c>
      <c r="C169" s="3" t="s">
        <v>1609</v>
      </c>
      <c r="D169" s="2" t="s">
        <v>1610</v>
      </c>
      <c r="F169" s="2" t="s">
        <v>30</v>
      </c>
      <c r="G169" s="2" t="s">
        <v>31</v>
      </c>
      <c r="H169" s="2" t="s">
        <v>32</v>
      </c>
      <c r="K169" s="2" t="s">
        <v>1611</v>
      </c>
      <c r="L169" s="3" t="s">
        <v>1225</v>
      </c>
      <c r="M169" s="2" t="s">
        <v>1612</v>
      </c>
      <c r="O169" s="2" t="s">
        <v>1613</v>
      </c>
      <c r="P169" s="2" t="s">
        <v>37</v>
      </c>
      <c r="R169" s="2" t="s">
        <v>1614</v>
      </c>
      <c r="T169" s="2" t="s">
        <v>76</v>
      </c>
      <c r="X169" s="2" t="n">
        <v>257</v>
      </c>
      <c r="Y169" s="2" t="s">
        <v>1610</v>
      </c>
      <c r="Z169" s="3" t="s">
        <v>1615</v>
      </c>
    </row>
    <row r="170" customFormat="false" ht="13.8" hidden="false" customHeight="false" outlineLevel="0" collapsed="false">
      <c r="A170" s="0" t="str">
        <f aca="false">CONCATENATE("__import__.res_partner_",C170)</f>
        <v>__import__.res_partner_20000000258</v>
      </c>
      <c r="B170" s="2" t="s">
        <v>1616</v>
      </c>
      <c r="C170" s="3" t="s">
        <v>1617</v>
      </c>
      <c r="D170" s="2" t="s">
        <v>1618</v>
      </c>
      <c r="F170" s="2" t="s">
        <v>30</v>
      </c>
      <c r="G170" s="2" t="s">
        <v>31</v>
      </c>
      <c r="H170" s="2" t="s">
        <v>32</v>
      </c>
      <c r="K170" s="2" t="s">
        <v>1619</v>
      </c>
      <c r="L170" s="3" t="s">
        <v>1620</v>
      </c>
      <c r="M170" s="2" t="s">
        <v>1621</v>
      </c>
      <c r="O170" s="2" t="s">
        <v>779</v>
      </c>
      <c r="P170" s="2" t="s">
        <v>37</v>
      </c>
      <c r="R170" s="2" t="s">
        <v>1622</v>
      </c>
      <c r="T170" s="2" t="s">
        <v>40</v>
      </c>
      <c r="X170" s="2" t="n">
        <v>258</v>
      </c>
      <c r="Y170" s="2" t="s">
        <v>1618</v>
      </c>
      <c r="Z170" s="3" t="s">
        <v>1623</v>
      </c>
    </row>
    <row r="171" customFormat="false" ht="13.8" hidden="false" customHeight="false" outlineLevel="0" collapsed="false">
      <c r="A171" s="0" t="str">
        <f aca="false">CONCATENATE("__import__.res_partner_",C171)</f>
        <v>__import__.res_partner_20000000259</v>
      </c>
      <c r="B171" s="2" t="s">
        <v>1624</v>
      </c>
      <c r="C171" s="3" t="s">
        <v>1625</v>
      </c>
      <c r="D171" s="2" t="s">
        <v>1626</v>
      </c>
      <c r="F171" s="2" t="s">
        <v>30</v>
      </c>
      <c r="G171" s="2" t="s">
        <v>31</v>
      </c>
      <c r="H171" s="2" t="s">
        <v>32</v>
      </c>
      <c r="K171" s="2" t="s">
        <v>1627</v>
      </c>
      <c r="L171" s="3" t="s">
        <v>1628</v>
      </c>
      <c r="M171" s="2" t="s">
        <v>1629</v>
      </c>
      <c r="O171" s="2" t="s">
        <v>1630</v>
      </c>
      <c r="P171" s="2" t="s">
        <v>37</v>
      </c>
      <c r="R171" s="3" t="s">
        <v>1631</v>
      </c>
      <c r="T171" s="2" t="s">
        <v>40</v>
      </c>
      <c r="X171" s="2" t="n">
        <v>259</v>
      </c>
      <c r="Y171" s="2" t="s">
        <v>1626</v>
      </c>
      <c r="Z171" s="3" t="s">
        <v>1632</v>
      </c>
    </row>
    <row r="172" customFormat="false" ht="61.15" hidden="false" customHeight="false" outlineLevel="0" collapsed="false">
      <c r="A172" s="0" t="str">
        <f aca="false">CONCATENATE("__import__.res_partner_",C172)</f>
        <v>__import__.res_partner_20000000260</v>
      </c>
      <c r="B172" s="2" t="s">
        <v>1633</v>
      </c>
      <c r="C172" s="3" t="s">
        <v>1634</v>
      </c>
      <c r="D172" s="2" t="s">
        <v>1635</v>
      </c>
      <c r="F172" s="2" t="s">
        <v>30</v>
      </c>
      <c r="G172" s="2" t="s">
        <v>31</v>
      </c>
      <c r="H172" s="2" t="s">
        <v>32</v>
      </c>
      <c r="K172" s="2" t="s">
        <v>1636</v>
      </c>
      <c r="L172" s="3" t="s">
        <v>1637</v>
      </c>
      <c r="M172" s="2" t="s">
        <v>1638</v>
      </c>
      <c r="O172" s="2" t="s">
        <v>261</v>
      </c>
      <c r="P172" s="2" t="s">
        <v>37</v>
      </c>
      <c r="Q172" s="2" t="s">
        <v>1639</v>
      </c>
      <c r="R172" s="3" t="s">
        <v>1640</v>
      </c>
      <c r="T172" s="2" t="s">
        <v>108</v>
      </c>
      <c r="X172" s="2" t="n">
        <v>260</v>
      </c>
      <c r="Y172" s="2" t="s">
        <v>1635</v>
      </c>
      <c r="Z172" s="3" t="s">
        <v>1641</v>
      </c>
      <c r="AA172" s="4" t="s">
        <v>1642</v>
      </c>
    </row>
    <row r="173" customFormat="false" ht="76.1" hidden="false" customHeight="false" outlineLevel="0" collapsed="false">
      <c r="A173" s="0" t="str">
        <f aca="false">CONCATENATE("__import__.res_partner_",C173)</f>
        <v>__import__.res_partner_20000000261</v>
      </c>
      <c r="B173" s="2" t="s">
        <v>1643</v>
      </c>
      <c r="C173" s="3" t="s">
        <v>1644</v>
      </c>
      <c r="D173" s="2" t="s">
        <v>1645</v>
      </c>
      <c r="F173" s="2" t="s">
        <v>30</v>
      </c>
      <c r="G173" s="2" t="s">
        <v>31</v>
      </c>
      <c r="H173" s="2" t="s">
        <v>32</v>
      </c>
      <c r="K173" s="2" t="s">
        <v>713</v>
      </c>
      <c r="L173" s="3" t="s">
        <v>714</v>
      </c>
      <c r="M173" s="2" t="s">
        <v>1646</v>
      </c>
      <c r="O173" s="2" t="s">
        <v>1647</v>
      </c>
      <c r="P173" s="2" t="s">
        <v>37</v>
      </c>
      <c r="Q173" s="2" t="s">
        <v>326</v>
      </c>
      <c r="R173" s="2" t="s">
        <v>1648</v>
      </c>
      <c r="T173" s="2" t="s">
        <v>64</v>
      </c>
      <c r="X173" s="2" t="n">
        <v>261</v>
      </c>
      <c r="Y173" s="2" t="s">
        <v>1649</v>
      </c>
      <c r="Z173" s="3" t="s">
        <v>1650</v>
      </c>
      <c r="AA173" s="4" t="s">
        <v>1651</v>
      </c>
    </row>
    <row r="174" customFormat="false" ht="13.8" hidden="false" customHeight="false" outlineLevel="0" collapsed="false">
      <c r="A174" s="0" t="str">
        <f aca="false">CONCATENATE("__import__.res_partner_",C174)</f>
        <v>__import__.res_partner_20000000262</v>
      </c>
      <c r="B174" s="2" t="s">
        <v>1652</v>
      </c>
      <c r="C174" s="3" t="s">
        <v>1653</v>
      </c>
      <c r="D174" s="2" t="s">
        <v>1654</v>
      </c>
      <c r="F174" s="2" t="s">
        <v>30</v>
      </c>
      <c r="G174" s="2" t="s">
        <v>31</v>
      </c>
      <c r="H174" s="2" t="s">
        <v>32</v>
      </c>
      <c r="K174" s="2" t="s">
        <v>1655</v>
      </c>
      <c r="L174" s="3" t="s">
        <v>1656</v>
      </c>
      <c r="M174" s="2" t="s">
        <v>1657</v>
      </c>
      <c r="O174" s="2" t="s">
        <v>1658</v>
      </c>
      <c r="P174" s="2" t="s">
        <v>37</v>
      </c>
      <c r="R174" s="2" t="s">
        <v>1659</v>
      </c>
      <c r="T174" s="2" t="s">
        <v>40</v>
      </c>
      <c r="X174" s="2" t="n">
        <v>262</v>
      </c>
      <c r="Y174" s="2" t="s">
        <v>1654</v>
      </c>
      <c r="Z174" s="3" t="s">
        <v>1660</v>
      </c>
    </row>
    <row r="175" customFormat="false" ht="13.8" hidden="false" customHeight="false" outlineLevel="0" collapsed="false">
      <c r="A175" s="0" t="str">
        <f aca="false">CONCATENATE("__import__.res_partner_",C175)</f>
        <v>__import__.res_partner_20000000263</v>
      </c>
      <c r="B175" s="2" t="s">
        <v>1661</v>
      </c>
      <c r="C175" s="3" t="s">
        <v>1662</v>
      </c>
      <c r="D175" s="2" t="s">
        <v>1663</v>
      </c>
      <c r="F175" s="2" t="s">
        <v>30</v>
      </c>
      <c r="G175" s="2" t="s">
        <v>1664</v>
      </c>
      <c r="H175" s="2" t="s">
        <v>32</v>
      </c>
      <c r="K175" s="2" t="s">
        <v>1665</v>
      </c>
      <c r="L175" s="3" t="s">
        <v>1666</v>
      </c>
      <c r="M175" s="2" t="s">
        <v>1667</v>
      </c>
      <c r="O175" s="2" t="s">
        <v>1668</v>
      </c>
      <c r="P175" s="2" t="s">
        <v>37</v>
      </c>
      <c r="R175" s="3" t="s">
        <v>1669</v>
      </c>
      <c r="T175" s="2" t="s">
        <v>108</v>
      </c>
      <c r="X175" s="2" t="n">
        <v>263</v>
      </c>
      <c r="Y175" s="2" t="s">
        <v>678</v>
      </c>
      <c r="Z175" s="3" t="s">
        <v>1670</v>
      </c>
    </row>
    <row r="176" customFormat="false" ht="13.8" hidden="false" customHeight="false" outlineLevel="0" collapsed="false">
      <c r="A176" s="0" t="str">
        <f aca="false">CONCATENATE("__import__.res_partner_",C176)</f>
        <v>__import__.res_partner_20000000264</v>
      </c>
      <c r="B176" s="2" t="s">
        <v>1671</v>
      </c>
      <c r="C176" s="3" t="s">
        <v>1672</v>
      </c>
      <c r="D176" s="2" t="s">
        <v>1673</v>
      </c>
      <c r="F176" s="2" t="s">
        <v>30</v>
      </c>
      <c r="G176" s="2" t="s">
        <v>31</v>
      </c>
      <c r="H176" s="2" t="s">
        <v>32</v>
      </c>
      <c r="K176" s="2" t="s">
        <v>1674</v>
      </c>
      <c r="L176" s="3" t="s">
        <v>1675</v>
      </c>
      <c r="M176" s="2" t="s">
        <v>1676</v>
      </c>
      <c r="O176" s="2" t="s">
        <v>1677</v>
      </c>
      <c r="P176" s="2" t="s">
        <v>37</v>
      </c>
      <c r="Q176" s="2" t="s">
        <v>1678</v>
      </c>
      <c r="R176" s="2" t="s">
        <v>1679</v>
      </c>
      <c r="T176" s="2" t="s">
        <v>76</v>
      </c>
      <c r="X176" s="2" t="n">
        <v>264</v>
      </c>
      <c r="Y176" s="2" t="s">
        <v>1673</v>
      </c>
      <c r="Z176" s="3" t="s">
        <v>1680</v>
      </c>
      <c r="AA176" s="2" t="s">
        <v>1681</v>
      </c>
    </row>
    <row r="177" customFormat="false" ht="13.8" hidden="false" customHeight="false" outlineLevel="0" collapsed="false">
      <c r="A177" s="0" t="str">
        <f aca="false">CONCATENATE("__import__.res_partner_",C177)</f>
        <v>__import__.res_partner_20000000265</v>
      </c>
      <c r="B177" s="2" t="s">
        <v>1682</v>
      </c>
      <c r="C177" s="3" t="s">
        <v>1683</v>
      </c>
      <c r="D177" s="2" t="s">
        <v>1684</v>
      </c>
      <c r="F177" s="2" t="s">
        <v>30</v>
      </c>
      <c r="G177" s="2" t="s">
        <v>31</v>
      </c>
      <c r="H177" s="2" t="s">
        <v>32</v>
      </c>
      <c r="K177" s="2" t="s">
        <v>1685</v>
      </c>
      <c r="L177" s="3" t="s">
        <v>1686</v>
      </c>
      <c r="M177" s="2" t="s">
        <v>1687</v>
      </c>
      <c r="O177" s="2" t="s">
        <v>1688</v>
      </c>
      <c r="P177" s="2" t="s">
        <v>37</v>
      </c>
      <c r="R177" s="2" t="s">
        <v>1689</v>
      </c>
      <c r="T177" s="2" t="s">
        <v>97</v>
      </c>
      <c r="X177" s="2" t="n">
        <v>265</v>
      </c>
      <c r="Y177" s="2" t="s">
        <v>1690</v>
      </c>
      <c r="Z177" s="3" t="s">
        <v>1691</v>
      </c>
    </row>
    <row r="178" customFormat="false" ht="13.8" hidden="false" customHeight="false" outlineLevel="0" collapsed="false">
      <c r="A178" s="0" t="str">
        <f aca="false">CONCATENATE("__import__.res_partner_",C178)</f>
        <v>__import__.res_partner_20000000266</v>
      </c>
      <c r="B178" s="2" t="s">
        <v>1692</v>
      </c>
      <c r="C178" s="3" t="s">
        <v>1693</v>
      </c>
      <c r="D178" s="2" t="s">
        <v>1694</v>
      </c>
      <c r="F178" s="2" t="s">
        <v>30</v>
      </c>
      <c r="G178" s="2" t="s">
        <v>31</v>
      </c>
      <c r="H178" s="2" t="s">
        <v>32</v>
      </c>
      <c r="K178" s="2" t="s">
        <v>1695</v>
      </c>
      <c r="L178" s="3" t="s">
        <v>1696</v>
      </c>
      <c r="M178" s="2" t="s">
        <v>1697</v>
      </c>
      <c r="O178" s="2" t="s">
        <v>1698</v>
      </c>
      <c r="P178" s="2" t="s">
        <v>37</v>
      </c>
      <c r="R178" s="2" t="s">
        <v>1699</v>
      </c>
      <c r="T178" s="2" t="s">
        <v>40</v>
      </c>
      <c r="X178" s="2" t="n">
        <v>266</v>
      </c>
      <c r="Y178" s="2" t="s">
        <v>1694</v>
      </c>
      <c r="Z178" s="3" t="s">
        <v>1700</v>
      </c>
    </row>
    <row r="179" customFormat="false" ht="13.8" hidden="false" customHeight="false" outlineLevel="0" collapsed="false">
      <c r="A179" s="0" t="str">
        <f aca="false">CONCATENATE("__import__.res_partner_",C179)</f>
        <v>__import__.res_partner_20000000267</v>
      </c>
      <c r="B179" s="2" t="s">
        <v>1701</v>
      </c>
      <c r="C179" s="3" t="s">
        <v>1702</v>
      </c>
      <c r="D179" s="2" t="s">
        <v>1703</v>
      </c>
      <c r="F179" s="2" t="s">
        <v>30</v>
      </c>
      <c r="G179" s="2" t="s">
        <v>31</v>
      </c>
      <c r="H179" s="2" t="s">
        <v>32</v>
      </c>
      <c r="K179" s="2" t="s">
        <v>1704</v>
      </c>
      <c r="L179" s="3" t="s">
        <v>440</v>
      </c>
      <c r="M179" s="2" t="s">
        <v>1705</v>
      </c>
      <c r="O179" s="2" t="s">
        <v>779</v>
      </c>
      <c r="P179" s="2" t="s">
        <v>37</v>
      </c>
      <c r="R179" s="2" t="s">
        <v>1706</v>
      </c>
      <c r="T179" s="2" t="s">
        <v>40</v>
      </c>
      <c r="X179" s="2" t="n">
        <v>267</v>
      </c>
      <c r="Y179" s="2" t="s">
        <v>1703</v>
      </c>
      <c r="Z179" s="3" t="s">
        <v>1707</v>
      </c>
    </row>
    <row r="180" customFormat="false" ht="13.8" hidden="false" customHeight="false" outlineLevel="0" collapsed="false">
      <c r="A180" s="0" t="str">
        <f aca="false">CONCATENATE("__import__.res_partner_",C180)</f>
        <v>__import__.res_partner_20000000268</v>
      </c>
      <c r="B180" s="2" t="s">
        <v>1708</v>
      </c>
      <c r="C180" s="3" t="s">
        <v>1709</v>
      </c>
      <c r="D180" s="2" t="s">
        <v>1710</v>
      </c>
      <c r="F180" s="2" t="s">
        <v>30</v>
      </c>
      <c r="G180" s="2" t="s">
        <v>31</v>
      </c>
      <c r="H180" s="2" t="s">
        <v>32</v>
      </c>
      <c r="K180" s="2" t="s">
        <v>1711</v>
      </c>
      <c r="L180" s="3" t="s">
        <v>1712</v>
      </c>
      <c r="M180" s="2" t="s">
        <v>1713</v>
      </c>
      <c r="O180" s="2" t="s">
        <v>779</v>
      </c>
      <c r="P180" s="2" t="s">
        <v>37</v>
      </c>
      <c r="R180" s="2" t="s">
        <v>1714</v>
      </c>
      <c r="T180" s="2" t="s">
        <v>40</v>
      </c>
      <c r="X180" s="2" t="n">
        <v>268</v>
      </c>
      <c r="Y180" s="2" t="s">
        <v>1710</v>
      </c>
      <c r="Z180" s="3" t="s">
        <v>1715</v>
      </c>
    </row>
    <row r="181" customFormat="false" ht="13.8" hidden="false" customHeight="false" outlineLevel="0" collapsed="false">
      <c r="A181" s="0" t="str">
        <f aca="false">CONCATENATE("__import__.res_partner_",C181)</f>
        <v>__import__.res_partner_20000000270</v>
      </c>
      <c r="B181" s="2" t="s">
        <v>1716</v>
      </c>
      <c r="C181" s="3" t="s">
        <v>1717</v>
      </c>
      <c r="D181" s="2" t="s">
        <v>1718</v>
      </c>
      <c r="F181" s="2" t="s">
        <v>30</v>
      </c>
      <c r="G181" s="2" t="s">
        <v>31</v>
      </c>
      <c r="H181" s="2" t="s">
        <v>32</v>
      </c>
      <c r="K181" s="2" t="s">
        <v>1719</v>
      </c>
      <c r="L181" s="3" t="s">
        <v>1720</v>
      </c>
      <c r="M181" s="2" t="s">
        <v>1721</v>
      </c>
      <c r="O181" s="2" t="s">
        <v>1722</v>
      </c>
      <c r="P181" s="2" t="s">
        <v>37</v>
      </c>
      <c r="R181" s="2" t="s">
        <v>1723</v>
      </c>
      <c r="T181" s="2" t="s">
        <v>97</v>
      </c>
      <c r="X181" s="2" t="n">
        <v>270</v>
      </c>
      <c r="Y181" s="2" t="s">
        <v>1718</v>
      </c>
      <c r="Z181" s="3" t="s">
        <v>1724</v>
      </c>
    </row>
    <row r="182" customFormat="false" ht="13.8" hidden="false" customHeight="false" outlineLevel="0" collapsed="false">
      <c r="A182" s="0" t="str">
        <f aca="false">CONCATENATE("__import__.res_partner_",C182)</f>
        <v>__import__.res_partner_20000000271</v>
      </c>
      <c r="B182" s="2" t="s">
        <v>1725</v>
      </c>
      <c r="C182" s="3" t="s">
        <v>1726</v>
      </c>
      <c r="D182" s="2" t="s">
        <v>1727</v>
      </c>
      <c r="F182" s="2" t="s">
        <v>30</v>
      </c>
      <c r="G182" s="2" t="s">
        <v>31</v>
      </c>
      <c r="H182" s="2" t="s">
        <v>32</v>
      </c>
      <c r="K182" s="2" t="s">
        <v>1728</v>
      </c>
      <c r="L182" s="3" t="s">
        <v>114</v>
      </c>
      <c r="M182" s="2" t="s">
        <v>1729</v>
      </c>
      <c r="O182" s="2" t="s">
        <v>1730</v>
      </c>
      <c r="P182" s="2" t="s">
        <v>37</v>
      </c>
      <c r="R182" s="2" t="s">
        <v>1731</v>
      </c>
      <c r="T182" s="2" t="s">
        <v>97</v>
      </c>
      <c r="X182" s="2" t="n">
        <v>271</v>
      </c>
      <c r="Y182" s="2" t="s">
        <v>1727</v>
      </c>
      <c r="Z182" s="3" t="s">
        <v>1732</v>
      </c>
    </row>
    <row r="183" customFormat="false" ht="13.8" hidden="false" customHeight="false" outlineLevel="0" collapsed="false">
      <c r="A183" s="0" t="str">
        <f aca="false">CONCATENATE("__import__.res_partner_",C183)</f>
        <v>__import__.res_partner_20000000275</v>
      </c>
      <c r="B183" s="2" t="s">
        <v>1733</v>
      </c>
      <c r="C183" s="3" t="s">
        <v>1734</v>
      </c>
      <c r="D183" s="2" t="s">
        <v>1735</v>
      </c>
      <c r="F183" s="2" t="s">
        <v>30</v>
      </c>
      <c r="G183" s="2" t="s">
        <v>31</v>
      </c>
      <c r="H183" s="2" t="s">
        <v>32</v>
      </c>
      <c r="K183" s="2" t="s">
        <v>1736</v>
      </c>
      <c r="L183" s="3" t="s">
        <v>1737</v>
      </c>
      <c r="M183" s="2" t="s">
        <v>1738</v>
      </c>
      <c r="O183" s="2" t="s">
        <v>36</v>
      </c>
      <c r="P183" s="2" t="s">
        <v>37</v>
      </c>
      <c r="Q183" s="2" t="s">
        <v>1739</v>
      </c>
      <c r="R183" s="3" t="s">
        <v>1740</v>
      </c>
      <c r="T183" s="2" t="s">
        <v>697</v>
      </c>
      <c r="X183" s="2" t="n">
        <v>275</v>
      </c>
      <c r="Y183" s="2" t="s">
        <v>1741</v>
      </c>
      <c r="Z183" s="3" t="s">
        <v>1742</v>
      </c>
    </row>
    <row r="184" customFormat="false" ht="13.8" hidden="false" customHeight="false" outlineLevel="0" collapsed="false">
      <c r="A184" s="0" t="str">
        <f aca="false">CONCATENATE("__import__.res_partner_",C184)</f>
        <v>__import__.res_partner_20000000276</v>
      </c>
      <c r="B184" s="2" t="s">
        <v>1743</v>
      </c>
      <c r="C184" s="3" t="s">
        <v>1744</v>
      </c>
      <c r="D184" s="2" t="s">
        <v>1745</v>
      </c>
      <c r="F184" s="2" t="s">
        <v>30</v>
      </c>
      <c r="G184" s="2" t="s">
        <v>31</v>
      </c>
      <c r="H184" s="2" t="s">
        <v>32</v>
      </c>
      <c r="K184" s="2" t="s">
        <v>1746</v>
      </c>
      <c r="L184" s="3" t="s">
        <v>1538</v>
      </c>
      <c r="M184" s="2" t="s">
        <v>1747</v>
      </c>
      <c r="N184" s="2" t="s">
        <v>1748</v>
      </c>
      <c r="O184" s="2" t="s">
        <v>1749</v>
      </c>
      <c r="P184" s="2" t="s">
        <v>37</v>
      </c>
      <c r="Q184" s="2" t="s">
        <v>1750</v>
      </c>
      <c r="R184" s="2" t="s">
        <v>1751</v>
      </c>
      <c r="T184" s="2" t="s">
        <v>697</v>
      </c>
      <c r="X184" s="2" t="n">
        <v>276</v>
      </c>
      <c r="Y184" s="2" t="s">
        <v>1752</v>
      </c>
      <c r="Z184" s="3" t="s">
        <v>1753</v>
      </c>
    </row>
    <row r="185" customFormat="false" ht="13.8" hidden="false" customHeight="false" outlineLevel="0" collapsed="false">
      <c r="A185" s="0" t="str">
        <f aca="false">CONCATENATE("__import__.res_partner_",C185)</f>
        <v>__import__.res_partner_20000000277</v>
      </c>
      <c r="B185" s="2" t="s">
        <v>1754</v>
      </c>
      <c r="C185" s="3" t="s">
        <v>1755</v>
      </c>
      <c r="D185" s="2" t="s">
        <v>1756</v>
      </c>
      <c r="F185" s="2" t="s">
        <v>30</v>
      </c>
      <c r="G185" s="2" t="s">
        <v>31</v>
      </c>
      <c r="H185" s="2" t="s">
        <v>32</v>
      </c>
      <c r="K185" s="2" t="s">
        <v>1757</v>
      </c>
      <c r="L185" s="3" t="s">
        <v>1488</v>
      </c>
      <c r="M185" s="2" t="s">
        <v>1758</v>
      </c>
      <c r="O185" s="2" t="s">
        <v>1759</v>
      </c>
      <c r="P185" s="2" t="s">
        <v>37</v>
      </c>
      <c r="R185" s="2" t="s">
        <v>1760</v>
      </c>
      <c r="T185" s="2" t="s">
        <v>40</v>
      </c>
      <c r="X185" s="2" t="n">
        <v>277</v>
      </c>
      <c r="Y185" s="2" t="s">
        <v>1756</v>
      </c>
      <c r="Z185" s="3" t="s">
        <v>1761</v>
      </c>
    </row>
    <row r="186" customFormat="false" ht="13.8" hidden="false" customHeight="false" outlineLevel="0" collapsed="false">
      <c r="A186" s="0" t="str">
        <f aca="false">CONCATENATE("__import__.res_partner_",C186)</f>
        <v>__import__.res_partner_20000000278</v>
      </c>
      <c r="B186" s="2" t="s">
        <v>1762</v>
      </c>
      <c r="C186" s="3" t="s">
        <v>1763</v>
      </c>
      <c r="D186" s="2" t="s">
        <v>1764</v>
      </c>
      <c r="F186" s="2" t="s">
        <v>30</v>
      </c>
      <c r="G186" s="2" t="s">
        <v>31</v>
      </c>
      <c r="H186" s="2" t="s">
        <v>32</v>
      </c>
      <c r="K186" s="2" t="s">
        <v>1765</v>
      </c>
      <c r="L186" s="3" t="s">
        <v>1766</v>
      </c>
      <c r="M186" s="2" t="s">
        <v>1767</v>
      </c>
      <c r="O186" s="2" t="s">
        <v>1312</v>
      </c>
      <c r="P186" s="2" t="s">
        <v>37</v>
      </c>
      <c r="R186" s="3" t="s">
        <v>1768</v>
      </c>
      <c r="T186" s="2" t="s">
        <v>40</v>
      </c>
      <c r="X186" s="2" t="n">
        <v>278</v>
      </c>
      <c r="Y186" s="2" t="s">
        <v>678</v>
      </c>
      <c r="Z186" s="3" t="s">
        <v>1769</v>
      </c>
    </row>
    <row r="187" customFormat="false" ht="13.8" hidden="false" customHeight="false" outlineLevel="0" collapsed="false">
      <c r="A187" s="0" t="str">
        <f aca="false">CONCATENATE("__import__.res_partner_",C187)</f>
        <v>__import__.res_partner_20000000279</v>
      </c>
      <c r="B187" s="2" t="s">
        <v>1770</v>
      </c>
      <c r="C187" s="3" t="s">
        <v>1771</v>
      </c>
      <c r="D187" s="2" t="s">
        <v>1772</v>
      </c>
      <c r="F187" s="2" t="s">
        <v>30</v>
      </c>
      <c r="G187" s="2" t="s">
        <v>31</v>
      </c>
      <c r="H187" s="2" t="s">
        <v>32</v>
      </c>
      <c r="K187" s="2" t="s">
        <v>1773</v>
      </c>
      <c r="L187" s="3" t="s">
        <v>47</v>
      </c>
      <c r="M187" s="2" t="s">
        <v>48</v>
      </c>
      <c r="O187" s="2" t="s">
        <v>779</v>
      </c>
      <c r="P187" s="2" t="s">
        <v>37</v>
      </c>
      <c r="Q187" s="2" t="s">
        <v>1774</v>
      </c>
      <c r="R187" s="2" t="s">
        <v>1775</v>
      </c>
      <c r="T187" s="2" t="s">
        <v>40</v>
      </c>
      <c r="X187" s="2" t="n">
        <v>279</v>
      </c>
      <c r="Y187" s="2" t="s">
        <v>1776</v>
      </c>
      <c r="Z187" s="3" t="s">
        <v>1777</v>
      </c>
    </row>
    <row r="188" customFormat="false" ht="13.8" hidden="false" customHeight="false" outlineLevel="0" collapsed="false">
      <c r="A188" s="0" t="str">
        <f aca="false">CONCATENATE("__import__.res_partner_",C188)</f>
        <v>__import__.res_partner_20000000280</v>
      </c>
      <c r="B188" s="2" t="s">
        <v>1778</v>
      </c>
      <c r="C188" s="3" t="s">
        <v>1779</v>
      </c>
      <c r="D188" s="2" t="s">
        <v>1780</v>
      </c>
      <c r="F188" s="2" t="s">
        <v>30</v>
      </c>
      <c r="G188" s="2" t="s">
        <v>31</v>
      </c>
      <c r="H188" s="2" t="s">
        <v>32</v>
      </c>
      <c r="K188" s="2" t="s">
        <v>1781</v>
      </c>
      <c r="L188" s="3" t="s">
        <v>1782</v>
      </c>
      <c r="M188" s="2" t="s">
        <v>1783</v>
      </c>
      <c r="O188" s="2" t="s">
        <v>1784</v>
      </c>
      <c r="P188" s="2" t="s">
        <v>37</v>
      </c>
      <c r="R188" s="3" t="s">
        <v>1785</v>
      </c>
      <c r="T188" s="2" t="s">
        <v>40</v>
      </c>
      <c r="X188" s="2" t="n">
        <v>280</v>
      </c>
      <c r="Y188" s="2" t="s">
        <v>678</v>
      </c>
      <c r="Z188" s="3" t="s">
        <v>1786</v>
      </c>
    </row>
    <row r="189" customFormat="false" ht="13.8" hidden="false" customHeight="false" outlineLevel="0" collapsed="false">
      <c r="A189" s="0" t="str">
        <f aca="false">CONCATENATE("__import__.res_partner_",C189)</f>
        <v>__import__.res_partner_20000000282</v>
      </c>
      <c r="B189" s="2" t="s">
        <v>1787</v>
      </c>
      <c r="C189" s="3" t="s">
        <v>1788</v>
      </c>
      <c r="D189" s="2" t="s">
        <v>1789</v>
      </c>
      <c r="F189" s="2" t="s">
        <v>30</v>
      </c>
      <c r="G189" s="2" t="s">
        <v>31</v>
      </c>
      <c r="H189" s="2" t="s">
        <v>32</v>
      </c>
      <c r="K189" s="2" t="s">
        <v>1790</v>
      </c>
      <c r="L189" s="3" t="s">
        <v>1791</v>
      </c>
      <c r="M189" s="2" t="s">
        <v>1792</v>
      </c>
      <c r="O189" s="2" t="s">
        <v>1793</v>
      </c>
      <c r="P189" s="2" t="s">
        <v>37</v>
      </c>
      <c r="Q189" s="2" t="s">
        <v>1794</v>
      </c>
      <c r="R189" s="2" t="s">
        <v>1795</v>
      </c>
      <c r="T189" s="2" t="s">
        <v>40</v>
      </c>
      <c r="X189" s="2" t="n">
        <v>282</v>
      </c>
      <c r="Y189" s="2" t="s">
        <v>1796</v>
      </c>
      <c r="Z189" s="3" t="s">
        <v>1797</v>
      </c>
      <c r="AA189" s="2" t="s">
        <v>1798</v>
      </c>
    </row>
    <row r="190" customFormat="false" ht="13.8" hidden="false" customHeight="false" outlineLevel="0" collapsed="false">
      <c r="A190" s="0" t="str">
        <f aca="false">CONCATENATE("__import__.res_partner_",C190)</f>
        <v>__import__.res_partner_20000000283</v>
      </c>
      <c r="B190" s="2" t="s">
        <v>1799</v>
      </c>
      <c r="C190" s="3" t="s">
        <v>1800</v>
      </c>
      <c r="D190" s="2" t="s">
        <v>1801</v>
      </c>
      <c r="F190" s="2" t="s">
        <v>30</v>
      </c>
      <c r="G190" s="2" t="s">
        <v>31</v>
      </c>
      <c r="H190" s="2" t="s">
        <v>32</v>
      </c>
      <c r="K190" s="2" t="s">
        <v>1802</v>
      </c>
      <c r="L190" s="3" t="s">
        <v>1803</v>
      </c>
      <c r="M190" s="2" t="s">
        <v>1804</v>
      </c>
      <c r="O190" s="2" t="s">
        <v>779</v>
      </c>
      <c r="P190" s="2" t="s">
        <v>37</v>
      </c>
      <c r="R190" s="3" t="s">
        <v>1805</v>
      </c>
      <c r="T190" s="2" t="s">
        <v>40</v>
      </c>
      <c r="X190" s="2" t="n">
        <v>283</v>
      </c>
      <c r="Y190" s="2" t="s">
        <v>678</v>
      </c>
      <c r="Z190" s="3" t="s">
        <v>1806</v>
      </c>
    </row>
    <row r="191" customFormat="false" ht="13.8" hidden="false" customHeight="false" outlineLevel="0" collapsed="false">
      <c r="A191" s="0" t="str">
        <f aca="false">CONCATENATE("__import__.res_partner_",C191)</f>
        <v>__import__.res_partner_20000000284</v>
      </c>
      <c r="B191" s="2" t="s">
        <v>1807</v>
      </c>
      <c r="C191" s="3" t="s">
        <v>1808</v>
      </c>
      <c r="D191" s="2" t="s">
        <v>1809</v>
      </c>
      <c r="F191" s="2" t="s">
        <v>30</v>
      </c>
      <c r="G191" s="2" t="s">
        <v>31</v>
      </c>
      <c r="H191" s="2" t="s">
        <v>32</v>
      </c>
      <c r="K191" s="2" t="s">
        <v>1810</v>
      </c>
      <c r="L191" s="3" t="s">
        <v>1811</v>
      </c>
      <c r="M191" s="2" t="s">
        <v>1812</v>
      </c>
      <c r="O191" s="2" t="s">
        <v>1813</v>
      </c>
      <c r="P191" s="2" t="s">
        <v>37</v>
      </c>
      <c r="Q191" s="2" t="s">
        <v>1814</v>
      </c>
      <c r="R191" s="3" t="s">
        <v>1815</v>
      </c>
      <c r="T191" s="2" t="s">
        <v>40</v>
      </c>
      <c r="X191" s="2" t="n">
        <v>284</v>
      </c>
      <c r="Y191" s="2" t="s">
        <v>1816</v>
      </c>
      <c r="Z191" s="3" t="s">
        <v>1817</v>
      </c>
    </row>
    <row r="192" customFormat="false" ht="13.8" hidden="false" customHeight="false" outlineLevel="0" collapsed="false">
      <c r="A192" s="0" t="str">
        <f aca="false">CONCATENATE("__import__.res_partner_",C192)</f>
        <v>__import__.res_partner_20000000285</v>
      </c>
      <c r="B192" s="2" t="s">
        <v>1818</v>
      </c>
      <c r="C192" s="3" t="s">
        <v>1819</v>
      </c>
      <c r="D192" s="2" t="s">
        <v>1820</v>
      </c>
      <c r="F192" s="2" t="s">
        <v>30</v>
      </c>
      <c r="G192" s="2" t="s">
        <v>31</v>
      </c>
      <c r="H192" s="2" t="s">
        <v>32</v>
      </c>
      <c r="K192" s="2" t="s">
        <v>1821</v>
      </c>
      <c r="L192" s="3" t="s">
        <v>1822</v>
      </c>
      <c r="M192" s="2" t="s">
        <v>1823</v>
      </c>
      <c r="O192" s="2" t="s">
        <v>1824</v>
      </c>
      <c r="P192" s="2" t="s">
        <v>37</v>
      </c>
      <c r="R192" s="2" t="s">
        <v>1825</v>
      </c>
      <c r="T192" s="2" t="s">
        <v>40</v>
      </c>
      <c r="X192" s="2" t="n">
        <v>285</v>
      </c>
      <c r="Y192" s="2" t="s">
        <v>678</v>
      </c>
      <c r="Z192" s="3" t="s">
        <v>1826</v>
      </c>
    </row>
    <row r="193" customFormat="false" ht="13.8" hidden="false" customHeight="false" outlineLevel="0" collapsed="false">
      <c r="A193" s="0" t="str">
        <f aca="false">CONCATENATE("__import__.res_partner_",C193)</f>
        <v>__import__.res_partner_20000000289</v>
      </c>
      <c r="B193" s="2" t="s">
        <v>1827</v>
      </c>
      <c r="C193" s="3" t="s">
        <v>1828</v>
      </c>
      <c r="D193" s="2" t="s">
        <v>1829</v>
      </c>
      <c r="F193" s="2" t="s">
        <v>30</v>
      </c>
      <c r="G193" s="2" t="s">
        <v>31</v>
      </c>
      <c r="H193" s="2" t="s">
        <v>32</v>
      </c>
      <c r="K193" s="2" t="s">
        <v>1830</v>
      </c>
      <c r="L193" s="2" t="s">
        <v>1831</v>
      </c>
      <c r="M193" s="2" t="s">
        <v>1832</v>
      </c>
      <c r="O193" s="2" t="s">
        <v>1833</v>
      </c>
      <c r="P193" s="2" t="s">
        <v>675</v>
      </c>
      <c r="R193" s="2" t="s">
        <v>1834</v>
      </c>
      <c r="T193" s="2" t="s">
        <v>40</v>
      </c>
      <c r="X193" s="2" t="n">
        <v>289</v>
      </c>
      <c r="Y193" s="2" t="s">
        <v>678</v>
      </c>
      <c r="Z193" s="3" t="s">
        <v>1835</v>
      </c>
    </row>
    <row r="194" customFormat="false" ht="13.8" hidden="false" customHeight="false" outlineLevel="0" collapsed="false">
      <c r="A194" s="0" t="str">
        <f aca="false">CONCATENATE("__import__.res_partner_",C194)</f>
        <v>__import__.res_partner_20000000290</v>
      </c>
      <c r="B194" s="2" t="s">
        <v>1836</v>
      </c>
      <c r="C194" s="3" t="s">
        <v>1837</v>
      </c>
      <c r="D194" s="2" t="s">
        <v>1838</v>
      </c>
      <c r="F194" s="2" t="s">
        <v>30</v>
      </c>
      <c r="G194" s="2" t="s">
        <v>31</v>
      </c>
      <c r="H194" s="2" t="s">
        <v>32</v>
      </c>
      <c r="K194" s="2" t="s">
        <v>1839</v>
      </c>
      <c r="L194" s="3" t="s">
        <v>1840</v>
      </c>
      <c r="M194" s="2" t="s">
        <v>1841</v>
      </c>
      <c r="O194" s="2" t="s">
        <v>1842</v>
      </c>
      <c r="P194" s="2" t="s">
        <v>37</v>
      </c>
      <c r="R194" s="2" t="s">
        <v>1843</v>
      </c>
      <c r="T194" s="2" t="s">
        <v>40</v>
      </c>
      <c r="X194" s="2" t="n">
        <v>290</v>
      </c>
      <c r="Y194" s="2" t="s">
        <v>678</v>
      </c>
      <c r="Z194" s="3" t="s">
        <v>1844</v>
      </c>
    </row>
    <row r="195" customFormat="false" ht="13.8" hidden="false" customHeight="false" outlineLevel="0" collapsed="false">
      <c r="A195" s="0" t="str">
        <f aca="false">CONCATENATE("__import__.res_partner_",C195)</f>
        <v>__import__.res_partner_20000000291</v>
      </c>
      <c r="B195" s="2" t="s">
        <v>1845</v>
      </c>
      <c r="C195" s="3" t="s">
        <v>1846</v>
      </c>
      <c r="D195" s="2" t="s">
        <v>1847</v>
      </c>
      <c r="F195" s="2" t="s">
        <v>30</v>
      </c>
      <c r="G195" s="2" t="s">
        <v>31</v>
      </c>
      <c r="H195" s="2" t="s">
        <v>32</v>
      </c>
      <c r="K195" s="2" t="s">
        <v>1848</v>
      </c>
      <c r="L195" s="3" t="s">
        <v>1359</v>
      </c>
      <c r="M195" s="2" t="s">
        <v>1849</v>
      </c>
      <c r="O195" s="2" t="s">
        <v>49</v>
      </c>
      <c r="P195" s="2" t="s">
        <v>37</v>
      </c>
      <c r="R195" s="2" t="s">
        <v>1850</v>
      </c>
      <c r="T195" s="2" t="s">
        <v>40</v>
      </c>
      <c r="X195" s="2" t="n">
        <v>291</v>
      </c>
      <c r="Y195" s="2" t="s">
        <v>678</v>
      </c>
      <c r="Z195" s="3" t="s">
        <v>1851</v>
      </c>
    </row>
    <row r="196" customFormat="false" ht="13.8" hidden="false" customHeight="false" outlineLevel="0" collapsed="false">
      <c r="A196" s="0" t="str">
        <f aca="false">CONCATENATE("__import__.res_partner_",C196)</f>
        <v>__import__.res_partner_20000000292</v>
      </c>
      <c r="B196" s="2" t="s">
        <v>1852</v>
      </c>
      <c r="C196" s="3" t="s">
        <v>1853</v>
      </c>
      <c r="D196" s="2" t="s">
        <v>1854</v>
      </c>
      <c r="F196" s="2" t="s">
        <v>30</v>
      </c>
      <c r="G196" s="2" t="s">
        <v>31</v>
      </c>
      <c r="H196" s="2" t="s">
        <v>32</v>
      </c>
      <c r="K196" s="2" t="s">
        <v>1855</v>
      </c>
      <c r="L196" s="3" t="s">
        <v>1856</v>
      </c>
      <c r="M196" s="2" t="s">
        <v>1857</v>
      </c>
      <c r="O196" s="2" t="s">
        <v>36</v>
      </c>
      <c r="P196" s="2" t="s">
        <v>37</v>
      </c>
      <c r="R196" s="3" t="s">
        <v>1858</v>
      </c>
      <c r="T196" s="2" t="s">
        <v>97</v>
      </c>
      <c r="X196" s="2" t="n">
        <v>292</v>
      </c>
      <c r="Y196" s="2" t="s">
        <v>678</v>
      </c>
      <c r="Z196" s="3" t="s">
        <v>1859</v>
      </c>
    </row>
    <row r="197" customFormat="false" ht="13.8" hidden="false" customHeight="false" outlineLevel="0" collapsed="false">
      <c r="A197" s="0" t="str">
        <f aca="false">CONCATENATE("__import__.res_partner_",C197)</f>
        <v>__import__.res_partner_20000000293</v>
      </c>
      <c r="B197" s="2" t="s">
        <v>1860</v>
      </c>
      <c r="C197" s="3" t="s">
        <v>1861</v>
      </c>
      <c r="D197" s="2" t="s">
        <v>1862</v>
      </c>
      <c r="F197" s="2" t="s">
        <v>30</v>
      </c>
      <c r="G197" s="2" t="s">
        <v>31</v>
      </c>
      <c r="H197" s="2" t="s">
        <v>32</v>
      </c>
      <c r="K197" s="2" t="s">
        <v>1863</v>
      </c>
      <c r="L197" s="2" t="s">
        <v>1864</v>
      </c>
      <c r="M197" s="2" t="s">
        <v>1865</v>
      </c>
      <c r="O197" s="2" t="s">
        <v>1866</v>
      </c>
      <c r="P197" s="2" t="s">
        <v>675</v>
      </c>
      <c r="R197" s="2" t="s">
        <v>1867</v>
      </c>
      <c r="T197" s="2" t="s">
        <v>97</v>
      </c>
      <c r="X197" s="2" t="n">
        <v>293</v>
      </c>
      <c r="Y197" s="2" t="s">
        <v>678</v>
      </c>
      <c r="Z197" s="3" t="s">
        <v>1868</v>
      </c>
    </row>
    <row r="198" customFormat="false" ht="13.8" hidden="false" customHeight="false" outlineLevel="0" collapsed="false">
      <c r="A198" s="0" t="str">
        <f aca="false">CONCATENATE("__import__.res_partner_",C198)</f>
        <v>__import__.res_partner_20000000294</v>
      </c>
      <c r="B198" s="2" t="s">
        <v>1869</v>
      </c>
      <c r="C198" s="3" t="s">
        <v>1870</v>
      </c>
      <c r="D198" s="2" t="s">
        <v>1871</v>
      </c>
      <c r="F198" s="2" t="s">
        <v>30</v>
      </c>
      <c r="G198" s="2" t="s">
        <v>31</v>
      </c>
      <c r="H198" s="2" t="s">
        <v>32</v>
      </c>
      <c r="K198" s="2" t="s">
        <v>1872</v>
      </c>
      <c r="L198" s="3" t="s">
        <v>815</v>
      </c>
      <c r="M198" s="2" t="s">
        <v>1873</v>
      </c>
      <c r="O198" s="2" t="s">
        <v>1874</v>
      </c>
      <c r="P198" s="2" t="s">
        <v>37</v>
      </c>
      <c r="R198" s="3" t="s">
        <v>1875</v>
      </c>
      <c r="T198" s="2" t="s">
        <v>40</v>
      </c>
      <c r="X198" s="2" t="n">
        <v>294</v>
      </c>
      <c r="Y198" s="2" t="s">
        <v>678</v>
      </c>
      <c r="Z198" s="3" t="s">
        <v>1876</v>
      </c>
    </row>
    <row r="199" customFormat="false" ht="13.8" hidden="false" customHeight="false" outlineLevel="0" collapsed="false">
      <c r="A199" s="0" t="str">
        <f aca="false">CONCATENATE("__import__.res_partner_",C199)</f>
        <v>__import__.res_partner_20000000295</v>
      </c>
      <c r="B199" s="2" t="s">
        <v>1877</v>
      </c>
      <c r="C199" s="3" t="s">
        <v>1878</v>
      </c>
      <c r="D199" s="2" t="s">
        <v>1879</v>
      </c>
      <c r="F199" s="2" t="s">
        <v>30</v>
      </c>
      <c r="G199" s="2" t="s">
        <v>31</v>
      </c>
      <c r="H199" s="2" t="s">
        <v>32</v>
      </c>
      <c r="K199" s="2" t="s">
        <v>1880</v>
      </c>
      <c r="L199" s="3" t="s">
        <v>572</v>
      </c>
      <c r="M199" s="2" t="s">
        <v>1881</v>
      </c>
      <c r="O199" s="2" t="s">
        <v>574</v>
      </c>
      <c r="P199" s="2" t="s">
        <v>37</v>
      </c>
      <c r="R199" s="3" t="s">
        <v>1882</v>
      </c>
      <c r="T199" s="2" t="s">
        <v>40</v>
      </c>
      <c r="X199" s="2" t="n">
        <v>295</v>
      </c>
      <c r="Y199" s="2" t="s">
        <v>678</v>
      </c>
      <c r="Z199" s="3" t="s">
        <v>1883</v>
      </c>
    </row>
    <row r="200" customFormat="false" ht="13.8" hidden="false" customHeight="false" outlineLevel="0" collapsed="false">
      <c r="A200" s="0" t="str">
        <f aca="false">CONCATENATE("__import__.res_partner_",C200)</f>
        <v>__import__.res_partner_20000000298</v>
      </c>
      <c r="B200" s="2" t="s">
        <v>1884</v>
      </c>
      <c r="C200" s="3" t="s">
        <v>1885</v>
      </c>
      <c r="D200" s="2" t="s">
        <v>1886</v>
      </c>
      <c r="F200" s="2" t="s">
        <v>30</v>
      </c>
      <c r="G200" s="2" t="s">
        <v>31</v>
      </c>
      <c r="H200" s="2" t="s">
        <v>32</v>
      </c>
      <c r="K200" s="2" t="s">
        <v>1887</v>
      </c>
      <c r="L200" s="3" t="s">
        <v>1888</v>
      </c>
      <c r="M200" s="2" t="s">
        <v>1889</v>
      </c>
      <c r="O200" s="2" t="s">
        <v>1890</v>
      </c>
      <c r="P200" s="2" t="s">
        <v>37</v>
      </c>
      <c r="R200" s="2" t="s">
        <v>1891</v>
      </c>
      <c r="T200" s="2" t="s">
        <v>40</v>
      </c>
      <c r="X200" s="2" t="n">
        <v>298</v>
      </c>
      <c r="Y200" s="2" t="s">
        <v>678</v>
      </c>
      <c r="Z200" s="3" t="s">
        <v>1892</v>
      </c>
    </row>
    <row r="201" customFormat="false" ht="13.8" hidden="false" customHeight="false" outlineLevel="0" collapsed="false">
      <c r="A201" s="0" t="str">
        <f aca="false">CONCATENATE("__import__.res_partner_",C201)</f>
        <v>__import__.res_partner_20000000300</v>
      </c>
      <c r="B201" s="2" t="s">
        <v>1893</v>
      </c>
      <c r="C201" s="3" t="s">
        <v>1894</v>
      </c>
      <c r="D201" s="2" t="s">
        <v>1895</v>
      </c>
      <c r="F201" s="2" t="s">
        <v>30</v>
      </c>
      <c r="G201" s="2" t="s">
        <v>31</v>
      </c>
      <c r="H201" s="2" t="s">
        <v>32</v>
      </c>
      <c r="K201" s="2" t="s">
        <v>1896</v>
      </c>
      <c r="L201" s="3" t="s">
        <v>1737</v>
      </c>
      <c r="M201" s="2" t="s">
        <v>1897</v>
      </c>
      <c r="O201" s="2" t="s">
        <v>1556</v>
      </c>
      <c r="P201" s="2" t="s">
        <v>37</v>
      </c>
      <c r="Q201" s="2" t="s">
        <v>338</v>
      </c>
      <c r="R201" s="2" t="s">
        <v>1898</v>
      </c>
      <c r="T201" s="2" t="s">
        <v>40</v>
      </c>
      <c r="X201" s="2" t="n">
        <v>300</v>
      </c>
      <c r="Y201" s="2" t="s">
        <v>678</v>
      </c>
      <c r="Z201" s="3" t="s">
        <v>1899</v>
      </c>
    </row>
    <row r="202" customFormat="false" ht="13.8" hidden="false" customHeight="false" outlineLevel="0" collapsed="false">
      <c r="A202" s="0" t="str">
        <f aca="false">CONCATENATE("__import__.res_partner_",C202)</f>
        <v>__import__.res_partner_20000000301</v>
      </c>
      <c r="B202" s="2" t="s">
        <v>1900</v>
      </c>
      <c r="C202" s="3" t="s">
        <v>1901</v>
      </c>
      <c r="D202" s="2" t="s">
        <v>1902</v>
      </c>
      <c r="F202" s="2" t="s">
        <v>30</v>
      </c>
      <c r="G202" s="2" t="s">
        <v>31</v>
      </c>
      <c r="H202" s="2" t="s">
        <v>32</v>
      </c>
      <c r="K202" s="2" t="s">
        <v>1903</v>
      </c>
      <c r="L202" s="2" t="s">
        <v>1904</v>
      </c>
      <c r="M202" s="2" t="s">
        <v>1905</v>
      </c>
      <c r="O202" s="2" t="s">
        <v>1906</v>
      </c>
      <c r="P202" s="2" t="s">
        <v>1162</v>
      </c>
      <c r="R202" s="2" t="s">
        <v>1907</v>
      </c>
      <c r="T202" s="2" t="s">
        <v>40</v>
      </c>
      <c r="X202" s="2" t="n">
        <v>301</v>
      </c>
      <c r="Y202" s="2" t="s">
        <v>678</v>
      </c>
      <c r="Z202" s="3" t="s">
        <v>1908</v>
      </c>
    </row>
    <row r="203" customFormat="false" ht="13.8" hidden="false" customHeight="false" outlineLevel="0" collapsed="false">
      <c r="A203" s="0" t="str">
        <f aca="false">CONCATENATE("__import__.res_partner_",C203)</f>
        <v>__import__.res_partner_20000000303</v>
      </c>
      <c r="B203" s="2" t="s">
        <v>1909</v>
      </c>
      <c r="C203" s="3" t="s">
        <v>1910</v>
      </c>
      <c r="D203" s="2" t="s">
        <v>1911</v>
      </c>
      <c r="F203" s="2" t="s">
        <v>30</v>
      </c>
      <c r="G203" s="2" t="s">
        <v>31</v>
      </c>
      <c r="H203" s="2" t="s">
        <v>32</v>
      </c>
      <c r="K203" s="2" t="s">
        <v>1912</v>
      </c>
      <c r="L203" s="3" t="s">
        <v>1195</v>
      </c>
      <c r="M203" s="2" t="s">
        <v>1913</v>
      </c>
      <c r="O203" s="2" t="s">
        <v>1197</v>
      </c>
      <c r="P203" s="2" t="s">
        <v>37</v>
      </c>
      <c r="R203" s="3" t="s">
        <v>1914</v>
      </c>
      <c r="T203" s="2" t="s">
        <v>40</v>
      </c>
      <c r="X203" s="2" t="n">
        <v>303</v>
      </c>
      <c r="Y203" s="2" t="s">
        <v>678</v>
      </c>
      <c r="Z203" s="3" t="s">
        <v>1915</v>
      </c>
    </row>
    <row r="204" customFormat="false" ht="13.8" hidden="false" customHeight="false" outlineLevel="0" collapsed="false">
      <c r="A204" s="0" t="str">
        <f aca="false">CONCATENATE("__import__.res_partner_",C204)</f>
        <v>__import__.res_partner_20000000304</v>
      </c>
      <c r="B204" s="2" t="s">
        <v>1916</v>
      </c>
      <c r="C204" s="3" t="s">
        <v>1917</v>
      </c>
      <c r="D204" s="2" t="s">
        <v>1918</v>
      </c>
      <c r="F204" s="2" t="s">
        <v>30</v>
      </c>
      <c r="G204" s="2" t="s">
        <v>31</v>
      </c>
      <c r="H204" s="2" t="s">
        <v>32</v>
      </c>
      <c r="K204" s="2" t="s">
        <v>1919</v>
      </c>
      <c r="L204" s="3" t="s">
        <v>1920</v>
      </c>
      <c r="M204" s="2" t="s">
        <v>1921</v>
      </c>
      <c r="O204" s="2" t="s">
        <v>1922</v>
      </c>
      <c r="P204" s="2" t="s">
        <v>37</v>
      </c>
      <c r="R204" s="3" t="s">
        <v>1923</v>
      </c>
      <c r="T204" s="2" t="s">
        <v>40</v>
      </c>
      <c r="X204" s="2" t="n">
        <v>304</v>
      </c>
      <c r="Y204" s="2" t="s">
        <v>678</v>
      </c>
      <c r="Z204" s="3" t="s">
        <v>1924</v>
      </c>
    </row>
    <row r="205" customFormat="false" ht="13.8" hidden="false" customHeight="false" outlineLevel="0" collapsed="false">
      <c r="A205" s="0" t="str">
        <f aca="false">CONCATENATE("__import__.res_partner_",C205)</f>
        <v>__import__.res_partner_20000000306</v>
      </c>
      <c r="B205" s="2" t="s">
        <v>1925</v>
      </c>
      <c r="C205" s="3" t="s">
        <v>1926</v>
      </c>
      <c r="D205" s="2" t="s">
        <v>1927</v>
      </c>
      <c r="F205" s="2" t="s">
        <v>30</v>
      </c>
      <c r="G205" s="2" t="s">
        <v>31</v>
      </c>
      <c r="H205" s="2" t="s">
        <v>32</v>
      </c>
      <c r="K205" s="2" t="s">
        <v>1928</v>
      </c>
      <c r="L205" s="3" t="s">
        <v>1620</v>
      </c>
      <c r="M205" s="2" t="s">
        <v>1929</v>
      </c>
      <c r="O205" s="2" t="s">
        <v>779</v>
      </c>
      <c r="P205" s="2" t="s">
        <v>37</v>
      </c>
      <c r="R205" s="3" t="s">
        <v>1930</v>
      </c>
      <c r="T205" s="2" t="s">
        <v>40</v>
      </c>
      <c r="X205" s="2" t="n">
        <v>306</v>
      </c>
      <c r="Y205" s="2" t="s">
        <v>678</v>
      </c>
      <c r="Z205" s="3" t="s">
        <v>1931</v>
      </c>
    </row>
    <row r="206" customFormat="false" ht="13.8" hidden="false" customHeight="false" outlineLevel="0" collapsed="false">
      <c r="A206" s="0" t="str">
        <f aca="false">CONCATENATE("__import__.res_partner_",C206)</f>
        <v>__import__.res_partner_20000000309</v>
      </c>
      <c r="B206" s="2" t="s">
        <v>1932</v>
      </c>
      <c r="C206" s="3" t="s">
        <v>1933</v>
      </c>
      <c r="D206" s="2" t="s">
        <v>1934</v>
      </c>
      <c r="F206" s="2" t="s">
        <v>30</v>
      </c>
      <c r="G206" s="2" t="s">
        <v>31</v>
      </c>
      <c r="H206" s="2" t="s">
        <v>32</v>
      </c>
      <c r="K206" s="2" t="s">
        <v>1935</v>
      </c>
      <c r="L206" s="3" t="s">
        <v>1936</v>
      </c>
      <c r="M206" s="2" t="s">
        <v>1937</v>
      </c>
      <c r="O206" s="2" t="s">
        <v>1938</v>
      </c>
      <c r="P206" s="2" t="s">
        <v>37</v>
      </c>
      <c r="Q206" s="2" t="s">
        <v>1939</v>
      </c>
      <c r="R206" s="2" t="s">
        <v>1940</v>
      </c>
      <c r="T206" s="2" t="s">
        <v>40</v>
      </c>
      <c r="X206" s="2" t="n">
        <v>309</v>
      </c>
      <c r="Y206" s="2" t="s">
        <v>678</v>
      </c>
      <c r="Z206" s="3" t="s">
        <v>1941</v>
      </c>
    </row>
    <row r="207" customFormat="false" ht="13.8" hidden="false" customHeight="false" outlineLevel="0" collapsed="false">
      <c r="A207" s="0" t="str">
        <f aca="false">CONCATENATE("__import__.res_partner_",C207)</f>
        <v>__import__.res_partner_20000000310</v>
      </c>
      <c r="B207" s="2" t="s">
        <v>1942</v>
      </c>
      <c r="C207" s="3" t="s">
        <v>1943</v>
      </c>
      <c r="D207" s="2" t="s">
        <v>1944</v>
      </c>
      <c r="F207" s="2" t="s">
        <v>30</v>
      </c>
      <c r="G207" s="2" t="s">
        <v>31</v>
      </c>
      <c r="H207" s="2" t="s">
        <v>32</v>
      </c>
      <c r="K207" s="2" t="s">
        <v>1945</v>
      </c>
      <c r="L207" s="3" t="s">
        <v>1563</v>
      </c>
      <c r="N207" s="2" t="s">
        <v>1946</v>
      </c>
      <c r="O207" s="2" t="s">
        <v>1565</v>
      </c>
      <c r="P207" s="2" t="s">
        <v>37</v>
      </c>
      <c r="R207" s="2" t="s">
        <v>1947</v>
      </c>
      <c r="T207" s="2" t="s">
        <v>97</v>
      </c>
      <c r="X207" s="2" t="n">
        <v>310</v>
      </c>
      <c r="Y207" s="2" t="s">
        <v>678</v>
      </c>
      <c r="Z207" s="3" t="s">
        <v>1948</v>
      </c>
    </row>
    <row r="208" customFormat="false" ht="13.8" hidden="false" customHeight="false" outlineLevel="0" collapsed="false">
      <c r="A208" s="0" t="str">
        <f aca="false">CONCATENATE("__import__.res_partner_",C208)</f>
        <v>__import__.res_partner_20000000311</v>
      </c>
      <c r="B208" s="2" t="s">
        <v>1949</v>
      </c>
      <c r="C208" s="3" t="s">
        <v>1950</v>
      </c>
      <c r="D208" s="2" t="s">
        <v>1951</v>
      </c>
      <c r="F208" s="2" t="s">
        <v>30</v>
      </c>
      <c r="G208" s="2" t="s">
        <v>31</v>
      </c>
      <c r="H208" s="2" t="s">
        <v>32</v>
      </c>
      <c r="K208" s="2" t="s">
        <v>1952</v>
      </c>
      <c r="L208" s="3" t="s">
        <v>1507</v>
      </c>
      <c r="M208" s="2" t="s">
        <v>1953</v>
      </c>
      <c r="O208" s="2" t="s">
        <v>1954</v>
      </c>
      <c r="P208" s="2" t="s">
        <v>1955</v>
      </c>
      <c r="R208" s="2" t="s">
        <v>1956</v>
      </c>
      <c r="T208" s="2" t="s">
        <v>97</v>
      </c>
      <c r="X208" s="2" t="n">
        <v>311</v>
      </c>
      <c r="Y208" s="2" t="s">
        <v>678</v>
      </c>
      <c r="Z208" s="3" t="s">
        <v>1957</v>
      </c>
    </row>
    <row r="209" customFormat="false" ht="13.8" hidden="false" customHeight="false" outlineLevel="0" collapsed="false">
      <c r="A209" s="0" t="str">
        <f aca="false">CONCATENATE("__import__.res_partner_",C209)</f>
        <v>__import__.res_partner_20000000313</v>
      </c>
      <c r="B209" s="2" t="s">
        <v>1958</v>
      </c>
      <c r="C209" s="3" t="s">
        <v>1959</v>
      </c>
      <c r="D209" s="2" t="s">
        <v>1960</v>
      </c>
      <c r="F209" s="2" t="s">
        <v>30</v>
      </c>
      <c r="G209" s="2" t="s">
        <v>31</v>
      </c>
      <c r="H209" s="2" t="s">
        <v>32</v>
      </c>
      <c r="K209" s="2" t="s">
        <v>1961</v>
      </c>
      <c r="L209" s="3" t="s">
        <v>1013</v>
      </c>
      <c r="M209" s="2" t="s">
        <v>1962</v>
      </c>
      <c r="O209" s="2" t="s">
        <v>1556</v>
      </c>
      <c r="P209" s="2" t="s">
        <v>37</v>
      </c>
      <c r="R209" s="2" t="s">
        <v>1963</v>
      </c>
      <c r="T209" s="2" t="s">
        <v>97</v>
      </c>
      <c r="X209" s="2" t="n">
        <v>313</v>
      </c>
      <c r="Y209" s="2" t="s">
        <v>678</v>
      </c>
      <c r="Z209" s="3" t="s">
        <v>1964</v>
      </c>
    </row>
    <row r="210" customFormat="false" ht="13.8" hidden="false" customHeight="false" outlineLevel="0" collapsed="false">
      <c r="A210" s="0" t="str">
        <f aca="false">CONCATENATE("__import__.res_partner_",C210)</f>
        <v>__import__.res_partner_20000000314</v>
      </c>
      <c r="B210" s="2" t="s">
        <v>1965</v>
      </c>
      <c r="C210" s="3" t="s">
        <v>1966</v>
      </c>
      <c r="D210" s="2" t="s">
        <v>1967</v>
      </c>
      <c r="F210" s="2" t="s">
        <v>30</v>
      </c>
      <c r="G210" s="2" t="s">
        <v>31</v>
      </c>
      <c r="H210" s="2" t="s">
        <v>32</v>
      </c>
      <c r="K210" s="2" t="s">
        <v>1968</v>
      </c>
      <c r="L210" s="3" t="s">
        <v>868</v>
      </c>
      <c r="M210" s="2" t="s">
        <v>1969</v>
      </c>
      <c r="O210" s="2" t="s">
        <v>1970</v>
      </c>
      <c r="P210" s="2" t="s">
        <v>37</v>
      </c>
      <c r="R210" s="2" t="s">
        <v>1971</v>
      </c>
      <c r="T210" s="2" t="s">
        <v>97</v>
      </c>
      <c r="X210" s="2" t="n">
        <v>314</v>
      </c>
      <c r="Y210" s="2" t="s">
        <v>678</v>
      </c>
      <c r="Z210" s="3" t="s">
        <v>1972</v>
      </c>
    </row>
    <row r="211" customFormat="false" ht="13.8" hidden="false" customHeight="false" outlineLevel="0" collapsed="false">
      <c r="A211" s="0" t="str">
        <f aca="false">CONCATENATE("__import__.res_partner_",C211)</f>
        <v>__import__.res_partner_20000000315</v>
      </c>
      <c r="B211" s="2" t="s">
        <v>1973</v>
      </c>
      <c r="C211" s="3" t="s">
        <v>1974</v>
      </c>
      <c r="D211" s="2" t="s">
        <v>1975</v>
      </c>
      <c r="F211" s="2" t="s">
        <v>30</v>
      </c>
      <c r="G211" s="2" t="s">
        <v>31</v>
      </c>
      <c r="H211" s="2" t="s">
        <v>32</v>
      </c>
      <c r="K211" s="2" t="s">
        <v>1976</v>
      </c>
      <c r="L211" s="3" t="s">
        <v>1977</v>
      </c>
      <c r="M211" s="2" t="s">
        <v>1978</v>
      </c>
      <c r="O211" s="2" t="s">
        <v>1979</v>
      </c>
      <c r="P211" s="2" t="s">
        <v>37</v>
      </c>
      <c r="R211" s="2" t="s">
        <v>1980</v>
      </c>
      <c r="T211" s="2" t="s">
        <v>97</v>
      </c>
      <c r="X211" s="2" t="n">
        <v>315</v>
      </c>
      <c r="Y211" s="2" t="s">
        <v>678</v>
      </c>
      <c r="Z211" s="3" t="s">
        <v>1981</v>
      </c>
    </row>
    <row r="212" customFormat="false" ht="13.8" hidden="false" customHeight="false" outlineLevel="0" collapsed="false">
      <c r="A212" s="0" t="str">
        <f aca="false">CONCATENATE("__import__.res_partner_",C212)</f>
        <v>__import__.res_partner_20000000316</v>
      </c>
      <c r="B212" s="2" t="s">
        <v>1982</v>
      </c>
      <c r="C212" s="3" t="s">
        <v>1983</v>
      </c>
      <c r="D212" s="2" t="s">
        <v>1984</v>
      </c>
      <c r="F212" s="2" t="s">
        <v>30</v>
      </c>
      <c r="G212" s="2" t="s">
        <v>31</v>
      </c>
      <c r="H212" s="2" t="s">
        <v>32</v>
      </c>
      <c r="K212" s="2" t="s">
        <v>1985</v>
      </c>
      <c r="L212" s="3" t="s">
        <v>1920</v>
      </c>
      <c r="M212" s="2" t="s">
        <v>1921</v>
      </c>
      <c r="O212" s="2" t="s">
        <v>1922</v>
      </c>
      <c r="P212" s="2" t="s">
        <v>37</v>
      </c>
      <c r="R212" s="2" t="s">
        <v>1986</v>
      </c>
      <c r="T212" s="2" t="s">
        <v>40</v>
      </c>
      <c r="X212" s="2" t="n">
        <v>316</v>
      </c>
      <c r="Y212" s="2" t="s">
        <v>678</v>
      </c>
      <c r="Z212" s="3" t="s">
        <v>1987</v>
      </c>
    </row>
    <row r="213" customFormat="false" ht="13.8" hidden="false" customHeight="false" outlineLevel="0" collapsed="false">
      <c r="A213" s="0" t="str">
        <f aca="false">CONCATENATE("__import__.res_partner_",C213)</f>
        <v>__import__.res_partner_20000000318</v>
      </c>
      <c r="B213" s="2" t="s">
        <v>1988</v>
      </c>
      <c r="C213" s="3" t="s">
        <v>1989</v>
      </c>
      <c r="D213" s="2" t="s">
        <v>1990</v>
      </c>
      <c r="F213" s="2" t="s">
        <v>30</v>
      </c>
      <c r="G213" s="2" t="s">
        <v>31</v>
      </c>
      <c r="H213" s="2" t="s">
        <v>32</v>
      </c>
      <c r="K213" s="2" t="s">
        <v>1991</v>
      </c>
      <c r="L213" s="3" t="s">
        <v>1992</v>
      </c>
      <c r="M213" s="2" t="s">
        <v>1993</v>
      </c>
      <c r="O213" s="2" t="s">
        <v>1994</v>
      </c>
      <c r="P213" s="2" t="s">
        <v>37</v>
      </c>
      <c r="R213" s="2" t="s">
        <v>1995</v>
      </c>
      <c r="T213" s="2" t="s">
        <v>97</v>
      </c>
      <c r="X213" s="2" t="n">
        <v>318</v>
      </c>
      <c r="Y213" s="2" t="s">
        <v>678</v>
      </c>
      <c r="Z213" s="3" t="s">
        <v>1996</v>
      </c>
    </row>
    <row r="214" customFormat="false" ht="13.8" hidden="false" customHeight="false" outlineLevel="0" collapsed="false">
      <c r="A214" s="0" t="str">
        <f aca="false">CONCATENATE("__import__.res_partner_",C214)</f>
        <v>__import__.res_partner_20000000319</v>
      </c>
      <c r="B214" s="2" t="s">
        <v>1997</v>
      </c>
      <c r="C214" s="3" t="s">
        <v>1998</v>
      </c>
      <c r="D214" s="2" t="s">
        <v>1999</v>
      </c>
      <c r="F214" s="2" t="s">
        <v>30</v>
      </c>
      <c r="G214" s="2" t="s">
        <v>31</v>
      </c>
      <c r="H214" s="2" t="s">
        <v>32</v>
      </c>
      <c r="K214" s="2" t="s">
        <v>2000</v>
      </c>
      <c r="L214" s="3" t="s">
        <v>695</v>
      </c>
      <c r="M214" s="2" t="s">
        <v>2001</v>
      </c>
      <c r="O214" s="2" t="s">
        <v>1556</v>
      </c>
      <c r="P214" s="2" t="s">
        <v>37</v>
      </c>
      <c r="T214" s="2" t="s">
        <v>40</v>
      </c>
      <c r="X214" s="2" t="n">
        <v>319</v>
      </c>
      <c r="Y214" s="2" t="s">
        <v>678</v>
      </c>
      <c r="Z214" s="3" t="s">
        <v>2002</v>
      </c>
    </row>
    <row r="215" customFormat="false" ht="13.8" hidden="false" customHeight="false" outlineLevel="0" collapsed="false">
      <c r="A215" s="0" t="str">
        <f aca="false">CONCATENATE("__import__.res_partner_",C215)</f>
        <v>__import__.res_partner_20000000322</v>
      </c>
      <c r="B215" s="2" t="s">
        <v>2003</v>
      </c>
      <c r="C215" s="3" t="s">
        <v>2004</v>
      </c>
      <c r="D215" s="2" t="s">
        <v>2005</v>
      </c>
      <c r="F215" s="2" t="s">
        <v>30</v>
      </c>
      <c r="G215" s="2" t="s">
        <v>31</v>
      </c>
      <c r="H215" s="2" t="s">
        <v>32</v>
      </c>
      <c r="K215" s="2" t="s">
        <v>2006</v>
      </c>
      <c r="L215" s="3" t="s">
        <v>1013</v>
      </c>
      <c r="M215" s="2" t="s">
        <v>2007</v>
      </c>
      <c r="O215" s="2" t="s">
        <v>1556</v>
      </c>
      <c r="P215" s="2" t="s">
        <v>37</v>
      </c>
      <c r="R215" s="2" t="s">
        <v>2008</v>
      </c>
      <c r="T215" s="2" t="s">
        <v>97</v>
      </c>
      <c r="X215" s="2" t="n">
        <v>322</v>
      </c>
      <c r="Y215" s="2" t="s">
        <v>678</v>
      </c>
      <c r="Z215" s="3" t="s">
        <v>2009</v>
      </c>
    </row>
    <row r="216" customFormat="false" ht="27.75" hidden="false" customHeight="false" outlineLevel="0" collapsed="false">
      <c r="A216" s="0" t="str">
        <f aca="false">CONCATENATE("__import__.res_partner_",C216)</f>
        <v>__import__.res_partner_20000000323</v>
      </c>
      <c r="B216" s="2" t="s">
        <v>2010</v>
      </c>
      <c r="C216" s="3" t="s">
        <v>2011</v>
      </c>
      <c r="D216" s="2" t="s">
        <v>2012</v>
      </c>
      <c r="F216" s="2" t="s">
        <v>30</v>
      </c>
      <c r="G216" s="2" t="s">
        <v>31</v>
      </c>
      <c r="H216" s="2" t="s">
        <v>32</v>
      </c>
      <c r="K216" s="2" t="s">
        <v>2013</v>
      </c>
      <c r="L216" s="3" t="s">
        <v>2014</v>
      </c>
      <c r="M216" s="2" t="s">
        <v>2015</v>
      </c>
      <c r="N216" s="2" t="s">
        <v>2016</v>
      </c>
      <c r="O216" s="2" t="s">
        <v>2017</v>
      </c>
      <c r="P216" s="2" t="s">
        <v>37</v>
      </c>
      <c r="Q216" s="2" t="s">
        <v>2018</v>
      </c>
      <c r="R216" s="2" t="s">
        <v>2019</v>
      </c>
      <c r="T216" s="2" t="s">
        <v>40</v>
      </c>
      <c r="X216" s="2" t="n">
        <v>323</v>
      </c>
      <c r="Y216" s="2" t="s">
        <v>678</v>
      </c>
      <c r="Z216" s="3" t="s">
        <v>2020</v>
      </c>
      <c r="AA216" s="4" t="s">
        <v>2021</v>
      </c>
    </row>
    <row r="217" customFormat="false" ht="13.8" hidden="false" customHeight="false" outlineLevel="0" collapsed="false">
      <c r="A217" s="0" t="str">
        <f aca="false">CONCATENATE("__import__.res_partner_",C217)</f>
        <v>__import__.res_partner_20000000324</v>
      </c>
      <c r="B217" s="2" t="s">
        <v>2022</v>
      </c>
      <c r="C217" s="3" t="s">
        <v>2023</v>
      </c>
      <c r="D217" s="2" t="s">
        <v>2024</v>
      </c>
      <c r="F217" s="2" t="s">
        <v>30</v>
      </c>
      <c r="G217" s="2" t="s">
        <v>31</v>
      </c>
      <c r="H217" s="2" t="s">
        <v>32</v>
      </c>
      <c r="K217" s="2" t="s">
        <v>2025</v>
      </c>
      <c r="L217" s="2" t="s">
        <v>672</v>
      </c>
      <c r="M217" s="2" t="s">
        <v>2026</v>
      </c>
      <c r="O217" s="2" t="s">
        <v>1480</v>
      </c>
      <c r="P217" s="2" t="s">
        <v>675</v>
      </c>
      <c r="Q217" s="2" t="s">
        <v>2027</v>
      </c>
      <c r="R217" s="3" t="s">
        <v>2028</v>
      </c>
      <c r="T217" s="2" t="s">
        <v>40</v>
      </c>
      <c r="X217" s="2" t="n">
        <v>324</v>
      </c>
      <c r="Y217" s="2" t="s">
        <v>2029</v>
      </c>
      <c r="Z217" s="3" t="s">
        <v>2030</v>
      </c>
    </row>
    <row r="218" customFormat="false" ht="13.8" hidden="false" customHeight="false" outlineLevel="0" collapsed="false">
      <c r="A218" s="0" t="str">
        <f aca="false">CONCATENATE("__import__.res_partner_",C218)</f>
        <v>__import__.res_partner_20000000327</v>
      </c>
      <c r="B218" s="2" t="s">
        <v>2031</v>
      </c>
      <c r="C218" s="3" t="s">
        <v>2032</v>
      </c>
      <c r="D218" s="2" t="s">
        <v>2033</v>
      </c>
      <c r="F218" s="2" t="s">
        <v>30</v>
      </c>
      <c r="G218" s="2" t="s">
        <v>31</v>
      </c>
      <c r="H218" s="2" t="s">
        <v>32</v>
      </c>
      <c r="K218" s="2" t="s">
        <v>2034</v>
      </c>
      <c r="L218" s="3" t="s">
        <v>2035</v>
      </c>
      <c r="M218" s="2" t="s">
        <v>2036</v>
      </c>
      <c r="O218" s="2" t="s">
        <v>2037</v>
      </c>
      <c r="P218" s="2" t="s">
        <v>37</v>
      </c>
      <c r="R218" s="2" t="s">
        <v>2038</v>
      </c>
      <c r="T218" s="2" t="s">
        <v>40</v>
      </c>
      <c r="X218" s="2" t="n">
        <v>327</v>
      </c>
      <c r="Y218" s="2" t="s">
        <v>678</v>
      </c>
      <c r="Z218" s="3" t="s">
        <v>2039</v>
      </c>
    </row>
    <row r="219" customFormat="false" ht="13.8" hidden="false" customHeight="false" outlineLevel="0" collapsed="false">
      <c r="A219" s="0" t="str">
        <f aca="false">CONCATENATE("__import__.res_partner_",C219)</f>
        <v>__import__.res_partner_20000000328</v>
      </c>
      <c r="B219" s="2" t="s">
        <v>2040</v>
      </c>
      <c r="C219" s="3" t="s">
        <v>2041</v>
      </c>
      <c r="D219" s="2" t="s">
        <v>2042</v>
      </c>
      <c r="F219" s="2" t="s">
        <v>30</v>
      </c>
      <c r="G219" s="2" t="s">
        <v>31</v>
      </c>
      <c r="H219" s="2" t="s">
        <v>32</v>
      </c>
      <c r="K219" s="2" t="s">
        <v>2043</v>
      </c>
      <c r="L219" s="3" t="s">
        <v>2044</v>
      </c>
      <c r="M219" s="2" t="s">
        <v>2045</v>
      </c>
      <c r="O219" s="2" t="s">
        <v>2046</v>
      </c>
      <c r="P219" s="2" t="s">
        <v>37</v>
      </c>
      <c r="R219" s="2" t="s">
        <v>2047</v>
      </c>
      <c r="T219" s="2" t="s">
        <v>97</v>
      </c>
      <c r="X219" s="2" t="n">
        <v>328</v>
      </c>
      <c r="Y219" s="2" t="s">
        <v>678</v>
      </c>
      <c r="Z219" s="3" t="s">
        <v>2048</v>
      </c>
    </row>
    <row r="220" customFormat="false" ht="13.8" hidden="false" customHeight="false" outlineLevel="0" collapsed="false">
      <c r="A220" s="0" t="str">
        <f aca="false">CONCATENATE("__import__.res_partner_",C220)</f>
        <v>__import__.res_partner_20000000330</v>
      </c>
      <c r="B220" s="2" t="s">
        <v>2049</v>
      </c>
      <c r="C220" s="3" t="s">
        <v>2050</v>
      </c>
      <c r="D220" s="2" t="s">
        <v>2051</v>
      </c>
      <c r="F220" s="2" t="s">
        <v>30</v>
      </c>
      <c r="G220" s="2" t="s">
        <v>31</v>
      </c>
      <c r="H220" s="2" t="s">
        <v>32</v>
      </c>
      <c r="K220" s="2" t="s">
        <v>2052</v>
      </c>
      <c r="L220" s="3" t="s">
        <v>2053</v>
      </c>
      <c r="M220" s="2" t="s">
        <v>2054</v>
      </c>
      <c r="O220" s="2" t="s">
        <v>116</v>
      </c>
      <c r="P220" s="2" t="s">
        <v>37</v>
      </c>
      <c r="R220" s="2" t="s">
        <v>2055</v>
      </c>
      <c r="T220" s="2" t="s">
        <v>2056</v>
      </c>
      <c r="X220" s="2" t="n">
        <v>330</v>
      </c>
      <c r="Y220" s="2" t="s">
        <v>678</v>
      </c>
      <c r="Z220" s="3" t="s">
        <v>2057</v>
      </c>
    </row>
    <row r="221" customFormat="false" ht="13.8" hidden="false" customHeight="false" outlineLevel="0" collapsed="false">
      <c r="A221" s="0" t="str">
        <f aca="false">CONCATENATE("__import__.res_partner_",C221)</f>
        <v>__import__.res_partner_20000000331</v>
      </c>
      <c r="B221" s="2" t="s">
        <v>2058</v>
      </c>
      <c r="C221" s="3" t="s">
        <v>2059</v>
      </c>
      <c r="D221" s="2" t="s">
        <v>2060</v>
      </c>
      <c r="F221" s="2" t="s">
        <v>30</v>
      </c>
      <c r="G221" s="2" t="s">
        <v>31</v>
      </c>
      <c r="H221" s="2" t="s">
        <v>32</v>
      </c>
      <c r="K221" s="2" t="s">
        <v>2061</v>
      </c>
      <c r="L221" s="3" t="s">
        <v>2062</v>
      </c>
      <c r="M221" s="2" t="s">
        <v>2063</v>
      </c>
      <c r="N221" s="2" t="s">
        <v>2064</v>
      </c>
      <c r="O221" s="2" t="s">
        <v>2065</v>
      </c>
      <c r="P221" s="2" t="s">
        <v>37</v>
      </c>
      <c r="R221" s="2" t="s">
        <v>2066</v>
      </c>
      <c r="T221" s="2" t="s">
        <v>76</v>
      </c>
      <c r="X221" s="2" t="n">
        <v>331</v>
      </c>
      <c r="Y221" s="2" t="s">
        <v>678</v>
      </c>
      <c r="Z221" s="3" t="s">
        <v>2067</v>
      </c>
    </row>
    <row r="222" customFormat="false" ht="13.8" hidden="false" customHeight="false" outlineLevel="0" collapsed="false">
      <c r="A222" s="0" t="str">
        <f aca="false">CONCATENATE("__import__.res_partner_",C222)</f>
        <v>__import__.res_partner_20000000333</v>
      </c>
      <c r="B222" s="2" t="s">
        <v>2068</v>
      </c>
      <c r="C222" s="3" t="s">
        <v>2069</v>
      </c>
      <c r="D222" s="2" t="s">
        <v>2070</v>
      </c>
      <c r="F222" s="2" t="s">
        <v>30</v>
      </c>
      <c r="G222" s="2" t="s">
        <v>31</v>
      </c>
      <c r="H222" s="2" t="s">
        <v>32</v>
      </c>
      <c r="K222" s="2" t="s">
        <v>2071</v>
      </c>
      <c r="L222" s="3" t="s">
        <v>219</v>
      </c>
      <c r="M222" s="2" t="s">
        <v>2072</v>
      </c>
      <c r="O222" s="2" t="s">
        <v>2073</v>
      </c>
      <c r="P222" s="2" t="s">
        <v>37</v>
      </c>
      <c r="Q222" s="2" t="s">
        <v>2074</v>
      </c>
      <c r="R222" s="2" t="s">
        <v>2075</v>
      </c>
      <c r="T222" s="2" t="s">
        <v>1209</v>
      </c>
      <c r="X222" s="2" t="n">
        <v>333</v>
      </c>
      <c r="Y222" s="2" t="s">
        <v>2076</v>
      </c>
      <c r="Z222" s="3" t="s">
        <v>2077</v>
      </c>
      <c r="AA222" s="6" t="s">
        <v>2078</v>
      </c>
    </row>
    <row r="223" customFormat="false" ht="13.8" hidden="false" customHeight="false" outlineLevel="0" collapsed="false">
      <c r="A223" s="0" t="str">
        <f aca="false">CONCATENATE("__import__.res_partner_",C223)</f>
        <v>__import__.res_partner_20000000334</v>
      </c>
      <c r="B223" s="2" t="s">
        <v>2079</v>
      </c>
      <c r="C223" s="3" t="s">
        <v>2080</v>
      </c>
      <c r="D223" s="2" t="s">
        <v>2081</v>
      </c>
      <c r="F223" s="2" t="s">
        <v>30</v>
      </c>
      <c r="G223" s="2" t="s">
        <v>31</v>
      </c>
      <c r="H223" s="2" t="s">
        <v>32</v>
      </c>
      <c r="K223" s="2" t="s">
        <v>2082</v>
      </c>
      <c r="L223" s="3" t="s">
        <v>641</v>
      </c>
      <c r="M223" s="2" t="s">
        <v>2083</v>
      </c>
      <c r="O223" s="2" t="s">
        <v>2084</v>
      </c>
      <c r="P223" s="2" t="s">
        <v>37</v>
      </c>
      <c r="R223" s="2" t="s">
        <v>2085</v>
      </c>
      <c r="T223" s="2" t="s">
        <v>76</v>
      </c>
      <c r="X223" s="2" t="n">
        <v>334</v>
      </c>
      <c r="Y223" s="2" t="s">
        <v>2086</v>
      </c>
      <c r="Z223" s="3" t="s">
        <v>2087</v>
      </c>
    </row>
    <row r="224" customFormat="false" ht="13.8" hidden="false" customHeight="false" outlineLevel="0" collapsed="false">
      <c r="A224" s="0" t="str">
        <f aca="false">CONCATENATE("__import__.res_partner_",C224)</f>
        <v>__import__.res_partner_20000000336</v>
      </c>
      <c r="B224" s="2" t="s">
        <v>2088</v>
      </c>
      <c r="C224" s="3" t="s">
        <v>2089</v>
      </c>
      <c r="D224" s="2" t="s">
        <v>2090</v>
      </c>
      <c r="F224" s="2" t="s">
        <v>30</v>
      </c>
      <c r="G224" s="2" t="s">
        <v>31</v>
      </c>
      <c r="H224" s="2" t="s">
        <v>32</v>
      </c>
      <c r="K224" s="2" t="s">
        <v>2091</v>
      </c>
      <c r="L224" s="2" t="s">
        <v>2092</v>
      </c>
      <c r="M224" s="2" t="s">
        <v>2093</v>
      </c>
      <c r="O224" s="2" t="s">
        <v>2094</v>
      </c>
      <c r="P224" s="2" t="s">
        <v>675</v>
      </c>
      <c r="Q224" s="2" t="s">
        <v>2095</v>
      </c>
      <c r="R224" s="2" t="s">
        <v>2096</v>
      </c>
      <c r="T224" s="2" t="s">
        <v>40</v>
      </c>
      <c r="X224" s="2" t="n">
        <v>336</v>
      </c>
      <c r="Y224" s="2" t="s">
        <v>678</v>
      </c>
      <c r="Z224" s="3" t="s">
        <v>2097</v>
      </c>
    </row>
    <row r="225" customFormat="false" ht="13.8" hidden="false" customHeight="false" outlineLevel="0" collapsed="false">
      <c r="A225" s="0" t="str">
        <f aca="false">CONCATENATE("__import__.res_partner_",C225)</f>
        <v>__import__.res_partner_20000000337</v>
      </c>
      <c r="B225" s="2" t="s">
        <v>2098</v>
      </c>
      <c r="C225" s="3" t="s">
        <v>2099</v>
      </c>
      <c r="D225" s="2" t="s">
        <v>2100</v>
      </c>
      <c r="F225" s="2" t="s">
        <v>30</v>
      </c>
      <c r="G225" s="2" t="s">
        <v>31</v>
      </c>
      <c r="H225" s="2" t="s">
        <v>32</v>
      </c>
      <c r="K225" s="2" t="s">
        <v>2101</v>
      </c>
      <c r="L225" s="3" t="s">
        <v>123</v>
      </c>
      <c r="M225" s="2" t="s">
        <v>2102</v>
      </c>
      <c r="O225" s="2" t="s">
        <v>2103</v>
      </c>
      <c r="P225" s="2" t="s">
        <v>37</v>
      </c>
      <c r="R225" s="2" t="s">
        <v>2104</v>
      </c>
      <c r="T225" s="2" t="s">
        <v>97</v>
      </c>
      <c r="X225" s="2" t="n">
        <v>337</v>
      </c>
      <c r="Y225" s="2" t="s">
        <v>678</v>
      </c>
      <c r="Z225" s="3" t="s">
        <v>2105</v>
      </c>
    </row>
    <row r="226" customFormat="false" ht="13.8" hidden="false" customHeight="false" outlineLevel="0" collapsed="false">
      <c r="A226" s="0" t="str">
        <f aca="false">CONCATENATE("__import__.res_partner_",C226)</f>
        <v>__import__.res_partner_20000000338</v>
      </c>
      <c r="B226" s="2" t="s">
        <v>2106</v>
      </c>
      <c r="C226" s="3" t="s">
        <v>2107</v>
      </c>
      <c r="D226" s="2" t="s">
        <v>2108</v>
      </c>
      <c r="F226" s="2" t="s">
        <v>30</v>
      </c>
      <c r="G226" s="2" t="s">
        <v>31</v>
      </c>
      <c r="H226" s="2" t="s">
        <v>32</v>
      </c>
      <c r="K226" s="2" t="s">
        <v>2109</v>
      </c>
      <c r="L226" s="3" t="s">
        <v>2110</v>
      </c>
      <c r="M226" s="2" t="s">
        <v>2111</v>
      </c>
      <c r="N226" s="2" t="s">
        <v>2112</v>
      </c>
      <c r="O226" s="2" t="s">
        <v>2113</v>
      </c>
      <c r="P226" s="2" t="s">
        <v>37</v>
      </c>
      <c r="R226" s="2" t="s">
        <v>2114</v>
      </c>
      <c r="T226" s="2" t="s">
        <v>97</v>
      </c>
      <c r="X226" s="2" t="n">
        <v>338</v>
      </c>
      <c r="Y226" s="2" t="s">
        <v>2115</v>
      </c>
      <c r="Z226" s="3" t="s">
        <v>2116</v>
      </c>
    </row>
    <row r="227" customFormat="false" ht="13.8" hidden="false" customHeight="false" outlineLevel="0" collapsed="false">
      <c r="A227" s="0" t="str">
        <f aca="false">CONCATENATE("__import__.res_partner_",C227)</f>
        <v>__import__.res_partner_20000000339</v>
      </c>
      <c r="B227" s="2" t="s">
        <v>2117</v>
      </c>
      <c r="C227" s="3" t="s">
        <v>2118</v>
      </c>
      <c r="D227" s="2" t="s">
        <v>2119</v>
      </c>
      <c r="F227" s="2" t="s">
        <v>30</v>
      </c>
      <c r="G227" s="2" t="s">
        <v>31</v>
      </c>
      <c r="H227" s="2" t="s">
        <v>32</v>
      </c>
      <c r="K227" s="2" t="s">
        <v>2120</v>
      </c>
      <c r="L227" s="3" t="s">
        <v>2121</v>
      </c>
      <c r="M227" s="2" t="s">
        <v>2122</v>
      </c>
      <c r="O227" s="2" t="s">
        <v>2123</v>
      </c>
      <c r="P227" s="2" t="s">
        <v>37</v>
      </c>
      <c r="Q227" s="2" t="s">
        <v>2124</v>
      </c>
      <c r="R227" s="2" t="s">
        <v>2125</v>
      </c>
      <c r="T227" s="2" t="s">
        <v>97</v>
      </c>
      <c r="X227" s="2" t="n">
        <v>339</v>
      </c>
      <c r="Y227" s="2" t="s">
        <v>2126</v>
      </c>
      <c r="Z227" s="3" t="s">
        <v>2127</v>
      </c>
    </row>
    <row r="228" customFormat="false" ht="13.8" hidden="false" customHeight="false" outlineLevel="0" collapsed="false">
      <c r="A228" s="0" t="str">
        <f aca="false">CONCATENATE("__import__.res_partner_",C228)</f>
        <v>__import__.res_partner_20000000343</v>
      </c>
      <c r="B228" s="2" t="s">
        <v>2128</v>
      </c>
      <c r="C228" s="3" t="s">
        <v>2129</v>
      </c>
      <c r="D228" s="2" t="s">
        <v>2130</v>
      </c>
      <c r="F228" s="2" t="s">
        <v>30</v>
      </c>
      <c r="G228" s="2" t="s">
        <v>31</v>
      </c>
      <c r="H228" s="2" t="s">
        <v>32</v>
      </c>
      <c r="K228" s="2" t="s">
        <v>2131</v>
      </c>
      <c r="L228" s="3" t="s">
        <v>1187</v>
      </c>
      <c r="M228" s="2" t="s">
        <v>2132</v>
      </c>
      <c r="O228" s="2" t="s">
        <v>779</v>
      </c>
      <c r="P228" s="2" t="s">
        <v>37</v>
      </c>
      <c r="R228" s="2" t="s">
        <v>2133</v>
      </c>
      <c r="T228" s="2" t="s">
        <v>40</v>
      </c>
      <c r="X228" s="2" t="n">
        <v>343</v>
      </c>
      <c r="Y228" s="2" t="s">
        <v>2134</v>
      </c>
      <c r="Z228" s="3" t="s">
        <v>2135</v>
      </c>
    </row>
    <row r="229" customFormat="false" ht="13.8" hidden="false" customHeight="false" outlineLevel="0" collapsed="false">
      <c r="A229" s="0" t="str">
        <f aca="false">CONCATENATE("__import__.res_partner_",C229)</f>
        <v>__import__.res_partner_20000000344</v>
      </c>
      <c r="B229" s="2" t="s">
        <v>2136</v>
      </c>
      <c r="C229" s="3" t="s">
        <v>2137</v>
      </c>
      <c r="D229" s="2" t="s">
        <v>2138</v>
      </c>
      <c r="F229" s="2" t="s">
        <v>30</v>
      </c>
      <c r="G229" s="2" t="s">
        <v>31</v>
      </c>
      <c r="H229" s="2" t="s">
        <v>32</v>
      </c>
      <c r="K229" s="2" t="s">
        <v>2139</v>
      </c>
      <c r="L229" s="2" t="s">
        <v>2140</v>
      </c>
      <c r="M229" s="2" t="s">
        <v>2141</v>
      </c>
      <c r="O229" s="2" t="s">
        <v>2142</v>
      </c>
      <c r="P229" s="2" t="s">
        <v>1955</v>
      </c>
      <c r="R229" s="2" t="s">
        <v>2143</v>
      </c>
      <c r="T229" s="2" t="s">
        <v>64</v>
      </c>
      <c r="X229" s="2" t="n">
        <v>344</v>
      </c>
      <c r="Y229" s="2" t="s">
        <v>678</v>
      </c>
      <c r="Z229" s="3" t="s">
        <v>2144</v>
      </c>
    </row>
    <row r="230" customFormat="false" ht="42" hidden="false" customHeight="false" outlineLevel="0" collapsed="false">
      <c r="A230" s="0" t="str">
        <f aca="false">CONCATENATE("__import__.res_partner_",C230)</f>
        <v>__import__.res_partner_20000000345</v>
      </c>
      <c r="B230" s="2" t="s">
        <v>2145</v>
      </c>
      <c r="C230" s="3" t="s">
        <v>2146</v>
      </c>
      <c r="D230" s="2" t="s">
        <v>2147</v>
      </c>
      <c r="F230" s="2" t="s">
        <v>30</v>
      </c>
      <c r="G230" s="2" t="s">
        <v>31</v>
      </c>
      <c r="H230" s="2" t="s">
        <v>32</v>
      </c>
      <c r="K230" s="2" t="s">
        <v>2148</v>
      </c>
      <c r="L230" s="3" t="s">
        <v>423</v>
      </c>
      <c r="M230" s="2" t="s">
        <v>2149</v>
      </c>
      <c r="O230" s="2" t="s">
        <v>36</v>
      </c>
      <c r="P230" s="2" t="s">
        <v>37</v>
      </c>
      <c r="Q230" s="2" t="s">
        <v>2150</v>
      </c>
      <c r="X230" s="2" t="n">
        <v>345</v>
      </c>
      <c r="Y230" s="2" t="s">
        <v>2151</v>
      </c>
      <c r="Z230" s="3" t="s">
        <v>2152</v>
      </c>
      <c r="AA230" s="4" t="s">
        <v>2153</v>
      </c>
    </row>
    <row r="231" customFormat="false" ht="13.8" hidden="false" customHeight="false" outlineLevel="0" collapsed="false">
      <c r="A231" s="0" t="str">
        <f aca="false">CONCATENATE("__import__.res_partner_",C231)</f>
        <v>__import__.res_partner_20000000346</v>
      </c>
      <c r="B231" s="2" t="s">
        <v>2154</v>
      </c>
      <c r="C231" s="3" t="s">
        <v>2155</v>
      </c>
      <c r="D231" s="2" t="s">
        <v>2156</v>
      </c>
      <c r="F231" s="2" t="s">
        <v>30</v>
      </c>
      <c r="G231" s="2" t="s">
        <v>31</v>
      </c>
      <c r="H231" s="2" t="s">
        <v>32</v>
      </c>
      <c r="K231" s="2" t="s">
        <v>2157</v>
      </c>
      <c r="L231" s="3" t="s">
        <v>480</v>
      </c>
      <c r="M231" s="2" t="s">
        <v>2158</v>
      </c>
      <c r="O231" s="2" t="s">
        <v>49</v>
      </c>
      <c r="P231" s="2" t="s">
        <v>37</v>
      </c>
      <c r="R231" s="2" t="s">
        <v>2159</v>
      </c>
      <c r="T231" s="2" t="s">
        <v>76</v>
      </c>
      <c r="X231" s="2" t="n">
        <v>346</v>
      </c>
      <c r="Y231" s="2" t="s">
        <v>678</v>
      </c>
      <c r="Z231" s="3" t="s">
        <v>2160</v>
      </c>
      <c r="AA231" s="2" t="s">
        <v>2161</v>
      </c>
    </row>
    <row r="232" customFormat="false" ht="13.8" hidden="false" customHeight="false" outlineLevel="0" collapsed="false">
      <c r="A232" s="0" t="str">
        <f aca="false">CONCATENATE("__import__.res_partner_",C232)</f>
        <v>__import__.res_partner_20000000347</v>
      </c>
      <c r="B232" s="2" t="s">
        <v>2162</v>
      </c>
      <c r="C232" s="3" t="s">
        <v>2163</v>
      </c>
      <c r="D232" s="2" t="s">
        <v>2164</v>
      </c>
      <c r="F232" s="2" t="s">
        <v>30</v>
      </c>
      <c r="G232" s="2" t="s">
        <v>31</v>
      </c>
      <c r="H232" s="2" t="s">
        <v>32</v>
      </c>
      <c r="K232" s="2" t="s">
        <v>2165</v>
      </c>
      <c r="L232" s="3" t="s">
        <v>229</v>
      </c>
      <c r="M232" s="2" t="s">
        <v>2166</v>
      </c>
      <c r="N232" s="2" t="s">
        <v>2167</v>
      </c>
      <c r="O232" s="2" t="s">
        <v>231</v>
      </c>
      <c r="P232" s="2" t="s">
        <v>37</v>
      </c>
      <c r="R232" s="2" t="s">
        <v>2168</v>
      </c>
      <c r="T232" s="2" t="s">
        <v>40</v>
      </c>
      <c r="X232" s="2" t="n">
        <v>347</v>
      </c>
      <c r="Y232" s="2" t="s">
        <v>678</v>
      </c>
      <c r="Z232" s="3" t="s">
        <v>2169</v>
      </c>
      <c r="AA232" s="2" t="s">
        <v>2170</v>
      </c>
    </row>
    <row r="233" customFormat="false" ht="13.8" hidden="false" customHeight="false" outlineLevel="0" collapsed="false">
      <c r="A233" s="0" t="str">
        <f aca="false">CONCATENATE("__import__.res_partner_",C233)</f>
        <v>__import__.res_partner_20000000348</v>
      </c>
      <c r="B233" s="2" t="s">
        <v>2171</v>
      </c>
      <c r="C233" s="3" t="s">
        <v>2172</v>
      </c>
      <c r="D233" s="2" t="s">
        <v>2173</v>
      </c>
      <c r="F233" s="2" t="s">
        <v>30</v>
      </c>
      <c r="G233" s="2" t="s">
        <v>31</v>
      </c>
      <c r="H233" s="2" t="s">
        <v>32</v>
      </c>
      <c r="K233" s="2" t="s">
        <v>2174</v>
      </c>
      <c r="L233" s="3" t="s">
        <v>2175</v>
      </c>
      <c r="M233" s="2" t="s">
        <v>2176</v>
      </c>
      <c r="O233" s="2" t="s">
        <v>2177</v>
      </c>
      <c r="P233" s="2" t="s">
        <v>37</v>
      </c>
      <c r="R233" s="2" t="s">
        <v>2178</v>
      </c>
      <c r="T233" s="2" t="s">
        <v>2056</v>
      </c>
      <c r="X233" s="2" t="n">
        <v>348</v>
      </c>
      <c r="Y233" s="2" t="s">
        <v>678</v>
      </c>
      <c r="Z233" s="3" t="s">
        <v>2179</v>
      </c>
    </row>
    <row r="234" customFormat="false" ht="13.8" hidden="false" customHeight="false" outlineLevel="0" collapsed="false">
      <c r="A234" s="0" t="str">
        <f aca="false">CONCATENATE("__import__.res_partner_",C234)</f>
        <v>__import__.res_partner_20000000349</v>
      </c>
      <c r="B234" s="2" t="s">
        <v>2180</v>
      </c>
      <c r="C234" s="3" t="s">
        <v>2181</v>
      </c>
      <c r="D234" s="2" t="s">
        <v>2182</v>
      </c>
      <c r="F234" s="2" t="s">
        <v>30</v>
      </c>
      <c r="G234" s="2" t="s">
        <v>31</v>
      </c>
      <c r="H234" s="2" t="s">
        <v>32</v>
      </c>
      <c r="K234" s="2" t="s">
        <v>2183</v>
      </c>
      <c r="L234" s="3" t="s">
        <v>2184</v>
      </c>
      <c r="M234" s="2" t="s">
        <v>2185</v>
      </c>
      <c r="O234" s="2" t="s">
        <v>2186</v>
      </c>
      <c r="P234" s="2" t="s">
        <v>37</v>
      </c>
      <c r="R234" s="2" t="s">
        <v>2187</v>
      </c>
      <c r="T234" s="2" t="s">
        <v>2056</v>
      </c>
      <c r="X234" s="2" t="n">
        <v>349</v>
      </c>
      <c r="Y234" s="2" t="s">
        <v>2188</v>
      </c>
      <c r="Z234" s="3" t="s">
        <v>2189</v>
      </c>
    </row>
    <row r="235" customFormat="false" ht="13.8" hidden="false" customHeight="false" outlineLevel="0" collapsed="false">
      <c r="A235" s="0" t="str">
        <f aca="false">CONCATENATE("__import__.res_partner_",C235)</f>
        <v>__import__.res_partner_20000000350</v>
      </c>
      <c r="B235" s="2" t="s">
        <v>2190</v>
      </c>
      <c r="C235" s="3" t="s">
        <v>2191</v>
      </c>
      <c r="D235" s="2" t="s">
        <v>2192</v>
      </c>
      <c r="F235" s="2" t="s">
        <v>30</v>
      </c>
      <c r="G235" s="2" t="s">
        <v>31</v>
      </c>
      <c r="H235" s="2" t="s">
        <v>32</v>
      </c>
      <c r="K235" s="2" t="s">
        <v>2193</v>
      </c>
      <c r="L235" s="3" t="s">
        <v>2014</v>
      </c>
      <c r="M235" s="2" t="s">
        <v>2194</v>
      </c>
      <c r="O235" s="2" t="s">
        <v>2195</v>
      </c>
      <c r="P235" s="2" t="s">
        <v>37</v>
      </c>
      <c r="R235" s="2" t="s">
        <v>2196</v>
      </c>
      <c r="T235" s="2" t="s">
        <v>40</v>
      </c>
      <c r="X235" s="2" t="n">
        <v>350</v>
      </c>
      <c r="Y235" s="2" t="s">
        <v>678</v>
      </c>
      <c r="Z235" s="3" t="s">
        <v>2197</v>
      </c>
    </row>
    <row r="236" customFormat="false" ht="13.8" hidden="false" customHeight="false" outlineLevel="0" collapsed="false">
      <c r="A236" s="0" t="str">
        <f aca="false">CONCATENATE("__import__.res_partner_",C236)</f>
        <v>__import__.res_partner_20000000351</v>
      </c>
      <c r="B236" s="2" t="s">
        <v>2198</v>
      </c>
      <c r="C236" s="3" t="s">
        <v>2199</v>
      </c>
      <c r="D236" s="2" t="s">
        <v>2200</v>
      </c>
      <c r="F236" s="2" t="s">
        <v>30</v>
      </c>
      <c r="G236" s="2" t="s">
        <v>31</v>
      </c>
      <c r="H236" s="2" t="s">
        <v>32</v>
      </c>
      <c r="K236" s="2" t="s">
        <v>2201</v>
      </c>
      <c r="L236" s="3" t="s">
        <v>2202</v>
      </c>
      <c r="M236" s="2" t="s">
        <v>2203</v>
      </c>
      <c r="O236" s="2" t="s">
        <v>36</v>
      </c>
      <c r="P236" s="2" t="s">
        <v>37</v>
      </c>
      <c r="R236" s="2" t="s">
        <v>2204</v>
      </c>
      <c r="T236" s="2" t="s">
        <v>40</v>
      </c>
      <c r="X236" s="2" t="n">
        <v>351</v>
      </c>
      <c r="Y236" s="2" t="s">
        <v>678</v>
      </c>
      <c r="Z236" s="3" t="s">
        <v>2205</v>
      </c>
    </row>
    <row r="237" customFormat="false" ht="13.8" hidden="false" customHeight="false" outlineLevel="0" collapsed="false">
      <c r="A237" s="0" t="str">
        <f aca="false">CONCATENATE("__import__.res_partner_",C237)</f>
        <v>__import__.res_partner_20000000352</v>
      </c>
      <c r="B237" s="2" t="s">
        <v>2206</v>
      </c>
      <c r="C237" s="3" t="s">
        <v>2207</v>
      </c>
      <c r="D237" s="2" t="s">
        <v>2208</v>
      </c>
      <c r="F237" s="2" t="s">
        <v>30</v>
      </c>
      <c r="G237" s="2" t="s">
        <v>31</v>
      </c>
      <c r="H237" s="2" t="s">
        <v>32</v>
      </c>
      <c r="K237" s="2" t="s">
        <v>2209</v>
      </c>
      <c r="L237" s="3" t="s">
        <v>2210</v>
      </c>
      <c r="M237" s="2" t="s">
        <v>2211</v>
      </c>
      <c r="O237" s="2" t="s">
        <v>2212</v>
      </c>
      <c r="P237" s="2" t="s">
        <v>37</v>
      </c>
      <c r="R237" s="2" t="s">
        <v>2213</v>
      </c>
      <c r="T237" s="2" t="s">
        <v>40</v>
      </c>
      <c r="X237" s="2" t="n">
        <v>352</v>
      </c>
      <c r="Y237" s="2" t="s">
        <v>678</v>
      </c>
      <c r="Z237" s="3" t="s">
        <v>2214</v>
      </c>
    </row>
    <row r="238" customFormat="false" ht="13.8" hidden="false" customHeight="false" outlineLevel="0" collapsed="false">
      <c r="A238" s="0" t="str">
        <f aca="false">CONCATENATE("__import__.res_partner_",C238)</f>
        <v>__import__.res_partner_20000000353</v>
      </c>
      <c r="B238" s="2" t="s">
        <v>2215</v>
      </c>
      <c r="C238" s="3" t="s">
        <v>2216</v>
      </c>
      <c r="D238" s="2" t="s">
        <v>2217</v>
      </c>
      <c r="F238" s="2" t="s">
        <v>30</v>
      </c>
      <c r="G238" s="2" t="s">
        <v>31</v>
      </c>
      <c r="H238" s="2" t="s">
        <v>32</v>
      </c>
      <c r="K238" s="2" t="s">
        <v>2218</v>
      </c>
      <c r="L238" s="3" t="s">
        <v>2219</v>
      </c>
      <c r="M238" s="2" t="s">
        <v>2220</v>
      </c>
      <c r="O238" s="2" t="s">
        <v>2221</v>
      </c>
      <c r="P238" s="2" t="s">
        <v>37</v>
      </c>
      <c r="R238" s="2" t="s">
        <v>2222</v>
      </c>
      <c r="T238" s="2" t="s">
        <v>40</v>
      </c>
      <c r="X238" s="2" t="n">
        <v>353</v>
      </c>
      <c r="Y238" s="2" t="s">
        <v>2223</v>
      </c>
      <c r="Z238" s="3" t="s">
        <v>2224</v>
      </c>
    </row>
    <row r="239" customFormat="false" ht="13.8" hidden="false" customHeight="false" outlineLevel="0" collapsed="false">
      <c r="A239" s="0" t="str">
        <f aca="false">CONCATENATE("__import__.res_partner_",C239)</f>
        <v>__import__.res_partner_20000000355</v>
      </c>
      <c r="B239" s="2" t="s">
        <v>2225</v>
      </c>
      <c r="C239" s="3" t="s">
        <v>2226</v>
      </c>
      <c r="D239" s="2" t="s">
        <v>2227</v>
      </c>
      <c r="F239" s="2" t="s">
        <v>30</v>
      </c>
      <c r="G239" s="2" t="s">
        <v>31</v>
      </c>
      <c r="H239" s="2" t="s">
        <v>32</v>
      </c>
      <c r="K239" s="2" t="s">
        <v>2228</v>
      </c>
      <c r="L239" s="3" t="s">
        <v>47</v>
      </c>
      <c r="M239" s="2" t="s">
        <v>2229</v>
      </c>
      <c r="O239" s="2" t="s">
        <v>779</v>
      </c>
      <c r="P239" s="2" t="s">
        <v>37</v>
      </c>
      <c r="R239" s="2" t="s">
        <v>2230</v>
      </c>
      <c r="T239" s="2" t="s">
        <v>97</v>
      </c>
      <c r="X239" s="2" t="n">
        <v>355</v>
      </c>
      <c r="Y239" s="2" t="s">
        <v>678</v>
      </c>
      <c r="Z239" s="3" t="s">
        <v>2231</v>
      </c>
    </row>
    <row r="240" customFormat="false" ht="13.8" hidden="false" customHeight="false" outlineLevel="0" collapsed="false">
      <c r="A240" s="0" t="str">
        <f aca="false">CONCATENATE("__import__.res_partner_",C240)</f>
        <v>__import__.res_partner_20000000356</v>
      </c>
      <c r="B240" s="2" t="s">
        <v>2232</v>
      </c>
      <c r="C240" s="3" t="s">
        <v>2233</v>
      </c>
      <c r="D240" s="2" t="s">
        <v>2234</v>
      </c>
      <c r="F240" s="2" t="s">
        <v>30</v>
      </c>
      <c r="G240" s="2" t="s">
        <v>31</v>
      </c>
      <c r="H240" s="2" t="s">
        <v>32</v>
      </c>
      <c r="K240" s="2" t="s">
        <v>2235</v>
      </c>
      <c r="L240" s="3" t="s">
        <v>1083</v>
      </c>
      <c r="M240" s="2" t="s">
        <v>2236</v>
      </c>
      <c r="O240" s="2" t="s">
        <v>1556</v>
      </c>
      <c r="P240" s="2" t="s">
        <v>37</v>
      </c>
      <c r="R240" s="2" t="s">
        <v>2237</v>
      </c>
      <c r="T240" s="2" t="s">
        <v>40</v>
      </c>
      <c r="X240" s="2" t="n">
        <v>356</v>
      </c>
      <c r="Y240" s="2" t="s">
        <v>678</v>
      </c>
      <c r="Z240" s="3" t="s">
        <v>2238</v>
      </c>
    </row>
    <row r="241" customFormat="false" ht="13.8" hidden="false" customHeight="false" outlineLevel="0" collapsed="false">
      <c r="A241" s="0" t="str">
        <f aca="false">CONCATENATE("__import__.res_partner_",C241)</f>
        <v>__import__.res_partner_20000000358</v>
      </c>
      <c r="B241" s="2" t="s">
        <v>2239</v>
      </c>
      <c r="C241" s="3" t="s">
        <v>2240</v>
      </c>
      <c r="D241" s="2" t="s">
        <v>2241</v>
      </c>
      <c r="F241" s="2" t="s">
        <v>30</v>
      </c>
      <c r="G241" s="2" t="s">
        <v>31</v>
      </c>
      <c r="H241" s="2" t="s">
        <v>32</v>
      </c>
      <c r="K241" s="2" t="s">
        <v>2242</v>
      </c>
      <c r="L241" s="3" t="s">
        <v>2243</v>
      </c>
      <c r="M241" s="2" t="s">
        <v>2244</v>
      </c>
      <c r="O241" s="2" t="s">
        <v>2245</v>
      </c>
      <c r="P241" s="2" t="s">
        <v>37</v>
      </c>
      <c r="Q241" s="2" t="s">
        <v>2246</v>
      </c>
      <c r="R241" s="2" t="s">
        <v>2247</v>
      </c>
      <c r="T241" s="2" t="s">
        <v>40</v>
      </c>
      <c r="X241" s="2" t="n">
        <v>358</v>
      </c>
      <c r="Y241" s="2" t="s">
        <v>2248</v>
      </c>
      <c r="Z241" s="3" t="s">
        <v>2249</v>
      </c>
    </row>
    <row r="242" customFormat="false" ht="13.8" hidden="false" customHeight="false" outlineLevel="0" collapsed="false">
      <c r="A242" s="0" t="str">
        <f aca="false">CONCATENATE("__import__.res_partner_",C242)</f>
        <v>__import__.res_partner_20000000359</v>
      </c>
      <c r="B242" s="2" t="s">
        <v>2250</v>
      </c>
      <c r="C242" s="3" t="s">
        <v>2251</v>
      </c>
      <c r="D242" s="2" t="s">
        <v>2252</v>
      </c>
      <c r="F242" s="2" t="s">
        <v>30</v>
      </c>
      <c r="G242" s="2" t="s">
        <v>31</v>
      </c>
      <c r="H242" s="2" t="s">
        <v>32</v>
      </c>
      <c r="K242" s="2" t="s">
        <v>2253</v>
      </c>
      <c r="L242" s="3" t="s">
        <v>2254</v>
      </c>
      <c r="M242" s="2" t="s">
        <v>2255</v>
      </c>
      <c r="O242" s="2" t="s">
        <v>2256</v>
      </c>
      <c r="P242" s="2" t="s">
        <v>37</v>
      </c>
      <c r="R242" s="2" t="s">
        <v>2257</v>
      </c>
      <c r="T242" s="2" t="s">
        <v>97</v>
      </c>
      <c r="X242" s="2" t="n">
        <v>359</v>
      </c>
      <c r="Y242" s="2" t="s">
        <v>678</v>
      </c>
      <c r="Z242" s="3" t="s">
        <v>2258</v>
      </c>
    </row>
    <row r="243" customFormat="false" ht="13.8" hidden="false" customHeight="false" outlineLevel="0" collapsed="false">
      <c r="A243" s="0" t="str">
        <f aca="false">CONCATENATE("__import__.res_partner_",C243)</f>
        <v>__import__.res_partner_20000000360</v>
      </c>
      <c r="B243" s="2" t="s">
        <v>2259</v>
      </c>
      <c r="C243" s="3" t="s">
        <v>2260</v>
      </c>
      <c r="D243" s="2" t="s">
        <v>2261</v>
      </c>
      <c r="F243" s="2" t="s">
        <v>30</v>
      </c>
      <c r="G243" s="2" t="s">
        <v>31</v>
      </c>
      <c r="H243" s="2" t="s">
        <v>32</v>
      </c>
      <c r="K243" s="2" t="s">
        <v>2262</v>
      </c>
      <c r="L243" s="3" t="s">
        <v>2263</v>
      </c>
      <c r="M243" s="2" t="s">
        <v>2264</v>
      </c>
      <c r="O243" s="2" t="s">
        <v>2265</v>
      </c>
      <c r="P243" s="2" t="s">
        <v>37</v>
      </c>
      <c r="R243" s="2" t="s">
        <v>2266</v>
      </c>
      <c r="T243" s="2" t="s">
        <v>40</v>
      </c>
      <c r="X243" s="2" t="n">
        <v>360</v>
      </c>
      <c r="Y243" s="2" t="s">
        <v>678</v>
      </c>
      <c r="Z243" s="3" t="s">
        <v>2267</v>
      </c>
    </row>
    <row r="244" customFormat="false" ht="13.8" hidden="false" customHeight="false" outlineLevel="0" collapsed="false">
      <c r="A244" s="0" t="str">
        <f aca="false">CONCATENATE("__import__.res_partner_",C244)</f>
        <v>__import__.res_partner_20000000363</v>
      </c>
      <c r="B244" s="2" t="s">
        <v>2268</v>
      </c>
      <c r="C244" s="3" t="s">
        <v>2269</v>
      </c>
      <c r="D244" s="2" t="s">
        <v>2270</v>
      </c>
      <c r="F244" s="2" t="s">
        <v>30</v>
      </c>
      <c r="G244" s="2" t="s">
        <v>31</v>
      </c>
      <c r="H244" s="2" t="s">
        <v>32</v>
      </c>
      <c r="K244" s="2" t="s">
        <v>2271</v>
      </c>
      <c r="L244" s="3" t="s">
        <v>868</v>
      </c>
      <c r="M244" s="2" t="s">
        <v>2272</v>
      </c>
      <c r="O244" s="2" t="s">
        <v>1970</v>
      </c>
      <c r="P244" s="2" t="s">
        <v>37</v>
      </c>
      <c r="R244" s="2" t="s">
        <v>2273</v>
      </c>
      <c r="T244" s="2" t="s">
        <v>76</v>
      </c>
      <c r="X244" s="2" t="n">
        <v>363</v>
      </c>
      <c r="Y244" s="2" t="s">
        <v>678</v>
      </c>
      <c r="Z244" s="3" t="s">
        <v>2274</v>
      </c>
    </row>
    <row r="245" customFormat="false" ht="13.8" hidden="false" customHeight="false" outlineLevel="0" collapsed="false">
      <c r="A245" s="0" t="str">
        <f aca="false">CONCATENATE("__import__.res_partner_",C245)</f>
        <v>__import__.res_partner_20000000365</v>
      </c>
      <c r="B245" s="2" t="s">
        <v>2275</v>
      </c>
      <c r="C245" s="3" t="s">
        <v>2276</v>
      </c>
      <c r="D245" s="2" t="s">
        <v>2277</v>
      </c>
      <c r="F245" s="2" t="s">
        <v>30</v>
      </c>
      <c r="G245" s="2" t="s">
        <v>31</v>
      </c>
      <c r="H245" s="2" t="s">
        <v>32</v>
      </c>
      <c r="K245" s="2" t="s">
        <v>2278</v>
      </c>
      <c r="L245" s="3" t="s">
        <v>2279</v>
      </c>
      <c r="M245" s="2" t="s">
        <v>2280</v>
      </c>
      <c r="O245" s="2" t="s">
        <v>2281</v>
      </c>
      <c r="P245" s="2" t="s">
        <v>37</v>
      </c>
      <c r="R245" s="2" t="s">
        <v>2282</v>
      </c>
      <c r="T245" s="2" t="s">
        <v>76</v>
      </c>
      <c r="X245" s="2" t="n">
        <v>365</v>
      </c>
      <c r="Y245" s="2" t="s">
        <v>678</v>
      </c>
      <c r="Z245" s="3" t="s">
        <v>2283</v>
      </c>
    </row>
    <row r="246" customFormat="false" ht="13.8" hidden="false" customHeight="false" outlineLevel="0" collapsed="false">
      <c r="A246" s="0" t="str">
        <f aca="false">CONCATENATE("__import__.res_partner_",C246)</f>
        <v>__import__.res_partner_20000000366</v>
      </c>
      <c r="B246" s="2" t="s">
        <v>2284</v>
      </c>
      <c r="C246" s="3" t="s">
        <v>2285</v>
      </c>
      <c r="D246" s="2" t="s">
        <v>2286</v>
      </c>
      <c r="F246" s="2" t="s">
        <v>30</v>
      </c>
      <c r="G246" s="2" t="s">
        <v>31</v>
      </c>
      <c r="H246" s="2" t="s">
        <v>32</v>
      </c>
      <c r="K246" s="2" t="s">
        <v>2287</v>
      </c>
      <c r="L246" s="3" t="s">
        <v>2288</v>
      </c>
      <c r="M246" s="2" t="s">
        <v>2289</v>
      </c>
      <c r="O246" s="2" t="s">
        <v>2290</v>
      </c>
      <c r="P246" s="2" t="s">
        <v>37</v>
      </c>
      <c r="R246" s="2" t="s">
        <v>2291</v>
      </c>
      <c r="T246" s="2" t="s">
        <v>40</v>
      </c>
      <c r="X246" s="2" t="n">
        <v>366</v>
      </c>
      <c r="Y246" s="2" t="s">
        <v>678</v>
      </c>
      <c r="Z246" s="3" t="s">
        <v>2292</v>
      </c>
    </row>
    <row r="247" customFormat="false" ht="72" hidden="false" customHeight="false" outlineLevel="0" collapsed="false">
      <c r="A247" s="0" t="str">
        <f aca="false">CONCATENATE("__import__.res_partner_",C247)</f>
        <v>__import__.res_partner_20000000367</v>
      </c>
      <c r="B247" s="2" t="s">
        <v>2293</v>
      </c>
      <c r="C247" s="3" t="s">
        <v>2294</v>
      </c>
      <c r="D247" s="2" t="s">
        <v>2295</v>
      </c>
      <c r="F247" s="2" t="s">
        <v>30</v>
      </c>
      <c r="G247" s="2" t="s">
        <v>31</v>
      </c>
      <c r="H247" s="2" t="s">
        <v>32</v>
      </c>
      <c r="K247" s="2" t="s">
        <v>2296</v>
      </c>
      <c r="L247" s="3" t="s">
        <v>2297</v>
      </c>
      <c r="M247" s="2" t="s">
        <v>2298</v>
      </c>
      <c r="O247" s="2" t="s">
        <v>2299</v>
      </c>
      <c r="P247" s="2" t="s">
        <v>37</v>
      </c>
      <c r="Q247" s="2" t="s">
        <v>405</v>
      </c>
      <c r="R247" s="2" t="s">
        <v>2300</v>
      </c>
      <c r="T247" s="2" t="s">
        <v>40</v>
      </c>
      <c r="X247" s="2" t="n">
        <v>367</v>
      </c>
      <c r="Y247" s="2" t="s">
        <v>2301</v>
      </c>
      <c r="Z247" s="3" t="s">
        <v>2302</v>
      </c>
      <c r="AA247" s="4" t="s">
        <v>2303</v>
      </c>
    </row>
    <row r="248" customFormat="false" ht="13.8" hidden="false" customHeight="false" outlineLevel="0" collapsed="false">
      <c r="A248" s="0" t="str">
        <f aca="false">CONCATENATE("__import__.res_partner_",C248)</f>
        <v>__import__.res_partner_20000000368</v>
      </c>
      <c r="B248" s="2" t="s">
        <v>2304</v>
      </c>
      <c r="C248" s="3" t="s">
        <v>2305</v>
      </c>
      <c r="D248" s="2" t="s">
        <v>2306</v>
      </c>
      <c r="F248" s="2" t="s">
        <v>30</v>
      </c>
      <c r="G248" s="2" t="s">
        <v>31</v>
      </c>
      <c r="H248" s="2" t="s">
        <v>32</v>
      </c>
      <c r="K248" s="2" t="s">
        <v>2307</v>
      </c>
      <c r="L248" s="3" t="s">
        <v>2308</v>
      </c>
      <c r="M248" s="2" t="s">
        <v>2309</v>
      </c>
      <c r="O248" s="2" t="s">
        <v>2310</v>
      </c>
      <c r="P248" s="2" t="s">
        <v>37</v>
      </c>
      <c r="R248" s="2" t="s">
        <v>2311</v>
      </c>
      <c r="T248" s="2" t="s">
        <v>40</v>
      </c>
      <c r="X248" s="2" t="n">
        <v>368</v>
      </c>
      <c r="Y248" s="2" t="s">
        <v>678</v>
      </c>
      <c r="Z248" s="3" t="s">
        <v>2312</v>
      </c>
    </row>
    <row r="249" customFormat="false" ht="13.8" hidden="false" customHeight="false" outlineLevel="0" collapsed="false">
      <c r="A249" s="0" t="str">
        <f aca="false">CONCATENATE("__import__.res_partner_",C249)</f>
        <v>__import__.res_partner_20000000369</v>
      </c>
      <c r="B249" s="2" t="s">
        <v>2313</v>
      </c>
      <c r="C249" s="3" t="s">
        <v>2314</v>
      </c>
      <c r="D249" s="2" t="s">
        <v>2315</v>
      </c>
      <c r="F249" s="2" t="s">
        <v>30</v>
      </c>
      <c r="G249" s="2" t="s">
        <v>31</v>
      </c>
      <c r="H249" s="2" t="s">
        <v>32</v>
      </c>
      <c r="K249" s="2" t="s">
        <v>2316</v>
      </c>
      <c r="L249" s="3" t="s">
        <v>2317</v>
      </c>
      <c r="M249" s="2" t="s">
        <v>2318</v>
      </c>
      <c r="O249" s="2" t="s">
        <v>2319</v>
      </c>
      <c r="P249" s="2" t="s">
        <v>37</v>
      </c>
      <c r="Q249" s="2" t="s">
        <v>2320</v>
      </c>
      <c r="R249" s="2" t="s">
        <v>2321</v>
      </c>
      <c r="T249" s="2" t="s">
        <v>40</v>
      </c>
      <c r="X249" s="2" t="n">
        <v>369</v>
      </c>
      <c r="Y249" s="2" t="s">
        <v>678</v>
      </c>
      <c r="Z249" s="3" t="s">
        <v>2322</v>
      </c>
      <c r="AA249" s="2" t="s">
        <v>2323</v>
      </c>
    </row>
    <row r="250" customFormat="false" ht="13.8" hidden="false" customHeight="false" outlineLevel="0" collapsed="false">
      <c r="A250" s="0" t="str">
        <f aca="false">CONCATENATE("__import__.res_partner_",C250)</f>
        <v>__import__.res_partner_20000000370</v>
      </c>
      <c r="B250" s="2" t="s">
        <v>2324</v>
      </c>
      <c r="C250" s="3" t="s">
        <v>2325</v>
      </c>
      <c r="D250" s="2" t="s">
        <v>2326</v>
      </c>
      <c r="F250" s="2" t="s">
        <v>30</v>
      </c>
      <c r="G250" s="2" t="s">
        <v>31</v>
      </c>
      <c r="H250" s="2" t="s">
        <v>32</v>
      </c>
      <c r="K250" s="2" t="s">
        <v>2327</v>
      </c>
      <c r="L250" s="3" t="s">
        <v>2328</v>
      </c>
      <c r="M250" s="2" t="s">
        <v>2329</v>
      </c>
      <c r="O250" s="2" t="s">
        <v>49</v>
      </c>
      <c r="P250" s="2" t="s">
        <v>37</v>
      </c>
      <c r="R250" s="2" t="s">
        <v>2330</v>
      </c>
      <c r="T250" s="2" t="s">
        <v>40</v>
      </c>
      <c r="X250" s="2" t="n">
        <v>370</v>
      </c>
      <c r="Y250" s="2" t="s">
        <v>678</v>
      </c>
      <c r="Z250" s="3" t="s">
        <v>2331</v>
      </c>
    </row>
    <row r="251" customFormat="false" ht="13.8" hidden="false" customHeight="false" outlineLevel="0" collapsed="false">
      <c r="A251" s="0" t="str">
        <f aca="false">CONCATENATE("__import__.res_partner_",C251)</f>
        <v>__import__.res_partner_20000000371</v>
      </c>
      <c r="B251" s="2" t="s">
        <v>2332</v>
      </c>
      <c r="C251" s="3" t="s">
        <v>2333</v>
      </c>
      <c r="D251" s="2" t="s">
        <v>2334</v>
      </c>
      <c r="F251" s="2" t="s">
        <v>30</v>
      </c>
      <c r="G251" s="2" t="s">
        <v>31</v>
      </c>
      <c r="H251" s="2" t="s">
        <v>32</v>
      </c>
      <c r="K251" s="2" t="s">
        <v>2335</v>
      </c>
      <c r="L251" s="3" t="s">
        <v>1083</v>
      </c>
      <c r="M251" s="2" t="s">
        <v>2336</v>
      </c>
      <c r="O251" s="2" t="s">
        <v>36</v>
      </c>
      <c r="P251" s="2" t="s">
        <v>37</v>
      </c>
      <c r="R251" s="2" t="s">
        <v>2337</v>
      </c>
      <c r="T251" s="2" t="s">
        <v>40</v>
      </c>
      <c r="X251" s="2" t="n">
        <v>371</v>
      </c>
      <c r="Y251" s="2" t="s">
        <v>678</v>
      </c>
      <c r="Z251" s="3" t="s">
        <v>2338</v>
      </c>
    </row>
    <row r="252" customFormat="false" ht="13.8" hidden="false" customHeight="false" outlineLevel="0" collapsed="false">
      <c r="A252" s="0" t="str">
        <f aca="false">CONCATENATE("__import__.res_partner_",C252)</f>
        <v>__import__.res_partner_20000000372</v>
      </c>
      <c r="B252" s="2" t="s">
        <v>2339</v>
      </c>
      <c r="C252" s="3" t="s">
        <v>2340</v>
      </c>
      <c r="D252" s="2" t="s">
        <v>2341</v>
      </c>
      <c r="F252" s="2" t="s">
        <v>30</v>
      </c>
      <c r="G252" s="2" t="s">
        <v>31</v>
      </c>
      <c r="H252" s="2" t="s">
        <v>32</v>
      </c>
      <c r="K252" s="2" t="s">
        <v>2342</v>
      </c>
      <c r="L252" s="3" t="s">
        <v>2343</v>
      </c>
      <c r="M252" s="2" t="s">
        <v>2344</v>
      </c>
      <c r="O252" s="2" t="s">
        <v>2345</v>
      </c>
      <c r="P252" s="2" t="s">
        <v>563</v>
      </c>
      <c r="Q252" s="2" t="s">
        <v>1005</v>
      </c>
      <c r="T252" s="2" t="s">
        <v>40</v>
      </c>
      <c r="X252" s="2" t="n">
        <v>372</v>
      </c>
      <c r="Y252" s="2" t="s">
        <v>678</v>
      </c>
      <c r="Z252" s="3" t="s">
        <v>2346</v>
      </c>
    </row>
    <row r="253" customFormat="false" ht="13.8" hidden="false" customHeight="false" outlineLevel="0" collapsed="false">
      <c r="A253" s="0" t="str">
        <f aca="false">CONCATENATE("__import__.res_partner_",C253)</f>
        <v>__import__.res_partner_20000000375</v>
      </c>
      <c r="B253" s="2" t="s">
        <v>2347</v>
      </c>
      <c r="C253" s="3" t="s">
        <v>2348</v>
      </c>
      <c r="D253" s="2" t="s">
        <v>2349</v>
      </c>
      <c r="F253" s="2" t="s">
        <v>30</v>
      </c>
      <c r="G253" s="2" t="s">
        <v>31</v>
      </c>
      <c r="H253" s="2" t="s">
        <v>32</v>
      </c>
      <c r="K253" s="2" t="s">
        <v>2350</v>
      </c>
      <c r="L253" s="3" t="s">
        <v>269</v>
      </c>
      <c r="M253" s="2" t="s">
        <v>2351</v>
      </c>
      <c r="O253" s="2" t="s">
        <v>49</v>
      </c>
      <c r="P253" s="2" t="s">
        <v>37</v>
      </c>
      <c r="R253" s="2" t="s">
        <v>2352</v>
      </c>
      <c r="T253" s="2" t="s">
        <v>40</v>
      </c>
      <c r="X253" s="2" t="n">
        <v>375</v>
      </c>
      <c r="Y253" s="2" t="s">
        <v>678</v>
      </c>
      <c r="Z253" s="3" t="s">
        <v>2353</v>
      </c>
    </row>
    <row r="254" customFormat="false" ht="13.8" hidden="false" customHeight="false" outlineLevel="0" collapsed="false">
      <c r="A254" s="0" t="str">
        <f aca="false">CONCATENATE("__import__.res_partner_",C254)</f>
        <v>__import__.res_partner_20000000376</v>
      </c>
      <c r="B254" s="2" t="s">
        <v>2354</v>
      </c>
      <c r="C254" s="3" t="s">
        <v>2355</v>
      </c>
      <c r="D254" s="2" t="s">
        <v>2356</v>
      </c>
      <c r="F254" s="2" t="s">
        <v>30</v>
      </c>
      <c r="G254" s="2" t="s">
        <v>31</v>
      </c>
      <c r="H254" s="2" t="s">
        <v>32</v>
      </c>
      <c r="K254" s="2" t="s">
        <v>2357</v>
      </c>
      <c r="L254" s="3" t="s">
        <v>2358</v>
      </c>
      <c r="M254" s="2" t="s">
        <v>2359</v>
      </c>
      <c r="O254" s="2" t="s">
        <v>705</v>
      </c>
      <c r="P254" s="2" t="s">
        <v>37</v>
      </c>
      <c r="R254" s="2" t="s">
        <v>2360</v>
      </c>
      <c r="T254" s="2" t="s">
        <v>40</v>
      </c>
      <c r="X254" s="2" t="n">
        <v>376</v>
      </c>
      <c r="Y254" s="2" t="s">
        <v>678</v>
      </c>
      <c r="Z254" s="3" t="s">
        <v>2361</v>
      </c>
    </row>
    <row r="255" customFormat="false" ht="13.8" hidden="false" customHeight="false" outlineLevel="0" collapsed="false">
      <c r="A255" s="0" t="str">
        <f aca="false">CONCATENATE("__import__.res_partner_",C255)</f>
        <v>__import__.res_partner_20000000377</v>
      </c>
      <c r="B255" s="2" t="s">
        <v>2362</v>
      </c>
      <c r="C255" s="3" t="s">
        <v>2363</v>
      </c>
      <c r="D255" s="2" t="s">
        <v>2364</v>
      </c>
      <c r="F255" s="2" t="s">
        <v>30</v>
      </c>
      <c r="G255" s="2" t="s">
        <v>31</v>
      </c>
      <c r="H255" s="2" t="s">
        <v>32</v>
      </c>
      <c r="K255" s="2" t="s">
        <v>2365</v>
      </c>
      <c r="L255" s="3" t="s">
        <v>2366</v>
      </c>
      <c r="M255" s="2" t="s">
        <v>2367</v>
      </c>
      <c r="O255" s="2" t="s">
        <v>2368</v>
      </c>
      <c r="P255" s="2" t="s">
        <v>37</v>
      </c>
      <c r="R255" s="2" t="s">
        <v>2369</v>
      </c>
      <c r="T255" s="2" t="s">
        <v>40</v>
      </c>
      <c r="X255" s="2" t="n">
        <v>377</v>
      </c>
      <c r="Y255" s="2" t="s">
        <v>678</v>
      </c>
      <c r="Z255" s="3" t="s">
        <v>2370</v>
      </c>
    </row>
    <row r="256" customFormat="false" ht="13.8" hidden="false" customHeight="false" outlineLevel="0" collapsed="false">
      <c r="A256" s="0" t="str">
        <f aca="false">CONCATENATE("__import__.res_partner_",C256)</f>
        <v>__import__.res_partner_20000000378</v>
      </c>
      <c r="B256" s="2" t="s">
        <v>2371</v>
      </c>
      <c r="C256" s="3" t="s">
        <v>2372</v>
      </c>
      <c r="D256" s="2" t="s">
        <v>2373</v>
      </c>
      <c r="F256" s="2" t="s">
        <v>30</v>
      </c>
      <c r="G256" s="2" t="s">
        <v>31</v>
      </c>
      <c r="H256" s="2" t="s">
        <v>32</v>
      </c>
      <c r="K256" s="2" t="s">
        <v>2374</v>
      </c>
      <c r="L256" s="3" t="s">
        <v>1370</v>
      </c>
      <c r="M256" s="2" t="s">
        <v>2375</v>
      </c>
      <c r="N256" s="2" t="s">
        <v>2376</v>
      </c>
      <c r="O256" s="2" t="s">
        <v>2377</v>
      </c>
      <c r="P256" s="2" t="s">
        <v>37</v>
      </c>
      <c r="R256" s="2" t="s">
        <v>2378</v>
      </c>
      <c r="T256" s="2" t="s">
        <v>97</v>
      </c>
      <c r="X256" s="2" t="n">
        <v>378</v>
      </c>
      <c r="Y256" s="2" t="s">
        <v>678</v>
      </c>
      <c r="Z256" s="3" t="s">
        <v>2379</v>
      </c>
    </row>
    <row r="257" customFormat="false" ht="13.8" hidden="false" customHeight="false" outlineLevel="0" collapsed="false">
      <c r="A257" s="0" t="str">
        <f aca="false">CONCATENATE("__import__.res_partner_",C257)</f>
        <v>__import__.res_partner_20000000380</v>
      </c>
      <c r="B257" s="2" t="s">
        <v>2380</v>
      </c>
      <c r="C257" s="3" t="s">
        <v>2381</v>
      </c>
      <c r="D257" s="2" t="s">
        <v>2382</v>
      </c>
      <c r="F257" s="2" t="s">
        <v>30</v>
      </c>
      <c r="G257" s="2" t="s">
        <v>31</v>
      </c>
      <c r="H257" s="2" t="s">
        <v>32</v>
      </c>
      <c r="K257" s="2" t="s">
        <v>2383</v>
      </c>
      <c r="L257" s="3" t="s">
        <v>2384</v>
      </c>
      <c r="M257" s="2" t="s">
        <v>2385</v>
      </c>
      <c r="O257" s="2" t="s">
        <v>779</v>
      </c>
      <c r="P257" s="2" t="s">
        <v>37</v>
      </c>
      <c r="R257" s="2" t="s">
        <v>2386</v>
      </c>
      <c r="T257" s="2" t="s">
        <v>76</v>
      </c>
      <c r="X257" s="2" t="n">
        <v>380</v>
      </c>
      <c r="Y257" s="2" t="s">
        <v>2387</v>
      </c>
      <c r="Z257" s="3" t="s">
        <v>2388</v>
      </c>
    </row>
    <row r="258" customFormat="false" ht="13.8" hidden="false" customHeight="false" outlineLevel="0" collapsed="false">
      <c r="A258" s="0" t="str">
        <f aca="false">CONCATENATE("__import__.res_partner_",C258)</f>
        <v>__import__.res_partner_20000000381</v>
      </c>
      <c r="B258" s="2" t="s">
        <v>2389</v>
      </c>
      <c r="C258" s="3" t="s">
        <v>2390</v>
      </c>
      <c r="D258" s="2" t="s">
        <v>2391</v>
      </c>
      <c r="F258" s="2" t="s">
        <v>30</v>
      </c>
      <c r="G258" s="2" t="s">
        <v>31</v>
      </c>
      <c r="H258" s="2" t="s">
        <v>32</v>
      </c>
      <c r="K258" s="2" t="s">
        <v>2392</v>
      </c>
      <c r="L258" s="3" t="s">
        <v>2393</v>
      </c>
      <c r="O258" s="2" t="s">
        <v>2394</v>
      </c>
      <c r="P258" s="2" t="s">
        <v>37</v>
      </c>
      <c r="R258" s="2" t="s">
        <v>2395</v>
      </c>
      <c r="T258" s="2" t="s">
        <v>40</v>
      </c>
      <c r="X258" s="2" t="n">
        <v>381</v>
      </c>
      <c r="Y258" s="2" t="s">
        <v>678</v>
      </c>
      <c r="Z258" s="3" t="s">
        <v>2396</v>
      </c>
    </row>
    <row r="259" customFormat="false" ht="13.8" hidden="false" customHeight="false" outlineLevel="0" collapsed="false">
      <c r="A259" s="0" t="str">
        <f aca="false">CONCATENATE("__import__.res_partner_",C259)</f>
        <v>__import__.res_partner_20000000382</v>
      </c>
      <c r="B259" s="2" t="s">
        <v>2397</v>
      </c>
      <c r="C259" s="3" t="s">
        <v>2398</v>
      </c>
      <c r="D259" s="2" t="s">
        <v>2399</v>
      </c>
      <c r="F259" s="2" t="s">
        <v>30</v>
      </c>
      <c r="G259" s="2" t="s">
        <v>31</v>
      </c>
      <c r="H259" s="2" t="s">
        <v>32</v>
      </c>
      <c r="K259" s="2" t="s">
        <v>2400</v>
      </c>
      <c r="L259" s="3" t="s">
        <v>2401</v>
      </c>
      <c r="M259" s="2" t="s">
        <v>2402</v>
      </c>
      <c r="O259" s="2" t="s">
        <v>2403</v>
      </c>
      <c r="P259" s="2" t="s">
        <v>2404</v>
      </c>
      <c r="R259" s="2" t="s">
        <v>2405</v>
      </c>
      <c r="T259" s="2" t="s">
        <v>40</v>
      </c>
      <c r="X259" s="2" t="n">
        <v>382</v>
      </c>
      <c r="Y259" s="2" t="s">
        <v>678</v>
      </c>
      <c r="Z259" s="3" t="s">
        <v>2406</v>
      </c>
    </row>
    <row r="260" customFormat="false" ht="13.8" hidden="false" customHeight="false" outlineLevel="0" collapsed="false">
      <c r="A260" s="0" t="str">
        <f aca="false">CONCATENATE("__import__.res_partner_",C260)</f>
        <v>__import__.res_partner_20000000383</v>
      </c>
      <c r="B260" s="2" t="s">
        <v>2407</v>
      </c>
      <c r="C260" s="3" t="s">
        <v>2408</v>
      </c>
      <c r="D260" s="2" t="s">
        <v>2409</v>
      </c>
      <c r="F260" s="2" t="s">
        <v>30</v>
      </c>
      <c r="G260" s="2" t="s">
        <v>31</v>
      </c>
      <c r="H260" s="2" t="s">
        <v>32</v>
      </c>
      <c r="K260" s="2" t="s">
        <v>2410</v>
      </c>
      <c r="L260" s="3" t="s">
        <v>2411</v>
      </c>
      <c r="M260" s="2" t="s">
        <v>2412</v>
      </c>
      <c r="O260" s="2" t="s">
        <v>2413</v>
      </c>
      <c r="P260" s="2" t="s">
        <v>37</v>
      </c>
      <c r="R260" s="2" t="s">
        <v>2414</v>
      </c>
      <c r="T260" s="2" t="s">
        <v>40</v>
      </c>
      <c r="X260" s="2" t="n">
        <v>383</v>
      </c>
      <c r="Y260" s="2" t="s">
        <v>678</v>
      </c>
      <c r="Z260" s="3" t="s">
        <v>2415</v>
      </c>
    </row>
    <row r="261" customFormat="false" ht="13.8" hidden="false" customHeight="false" outlineLevel="0" collapsed="false">
      <c r="A261" s="0" t="str">
        <f aca="false">CONCATENATE("__import__.res_partner_",C261)</f>
        <v>__import__.res_partner_20000000384</v>
      </c>
      <c r="B261" s="2" t="s">
        <v>2416</v>
      </c>
      <c r="C261" s="3" t="s">
        <v>2417</v>
      </c>
      <c r="D261" s="2" t="s">
        <v>2418</v>
      </c>
      <c r="F261" s="2" t="s">
        <v>30</v>
      </c>
      <c r="G261" s="2" t="s">
        <v>31</v>
      </c>
      <c r="H261" s="2" t="s">
        <v>32</v>
      </c>
      <c r="K261" s="2" t="s">
        <v>2419</v>
      </c>
      <c r="L261" s="3" t="s">
        <v>2420</v>
      </c>
      <c r="M261" s="2" t="s">
        <v>2421</v>
      </c>
      <c r="O261" s="2" t="s">
        <v>2422</v>
      </c>
      <c r="P261" s="2" t="s">
        <v>37</v>
      </c>
      <c r="R261" s="2" t="s">
        <v>2423</v>
      </c>
      <c r="T261" s="2" t="s">
        <v>40</v>
      </c>
      <c r="X261" s="2" t="n">
        <v>384</v>
      </c>
      <c r="Y261" s="2" t="s">
        <v>678</v>
      </c>
      <c r="Z261" s="3" t="s">
        <v>2424</v>
      </c>
    </row>
    <row r="262" customFormat="false" ht="13.8" hidden="false" customHeight="false" outlineLevel="0" collapsed="false">
      <c r="A262" s="0" t="str">
        <f aca="false">CONCATENATE("__import__.res_partner_",C262)</f>
        <v>__import__.res_partner_20000000386</v>
      </c>
      <c r="B262" s="2" t="s">
        <v>2425</v>
      </c>
      <c r="C262" s="3" t="s">
        <v>2426</v>
      </c>
      <c r="D262" s="2" t="s">
        <v>2427</v>
      </c>
      <c r="F262" s="2" t="s">
        <v>30</v>
      </c>
      <c r="G262" s="2" t="s">
        <v>31</v>
      </c>
      <c r="H262" s="2" t="s">
        <v>32</v>
      </c>
      <c r="K262" s="2" t="s">
        <v>2428</v>
      </c>
      <c r="L262" s="3" t="s">
        <v>2429</v>
      </c>
      <c r="M262" s="2" t="s">
        <v>2430</v>
      </c>
      <c r="O262" s="2" t="s">
        <v>2431</v>
      </c>
      <c r="P262" s="2" t="s">
        <v>37</v>
      </c>
      <c r="R262" s="2" t="s">
        <v>2432</v>
      </c>
      <c r="T262" s="2" t="s">
        <v>40</v>
      </c>
      <c r="X262" s="2" t="n">
        <v>386</v>
      </c>
      <c r="Y262" s="2" t="s">
        <v>678</v>
      </c>
      <c r="Z262" s="3" t="s">
        <v>2433</v>
      </c>
    </row>
    <row r="263" customFormat="false" ht="13.8" hidden="false" customHeight="false" outlineLevel="0" collapsed="false">
      <c r="A263" s="0" t="str">
        <f aca="false">CONCATENATE("__import__.res_partner_",C263)</f>
        <v>__import__.res_partner_20000000387</v>
      </c>
      <c r="B263" s="2" t="s">
        <v>2434</v>
      </c>
      <c r="C263" s="3" t="s">
        <v>2435</v>
      </c>
      <c r="D263" s="2" t="s">
        <v>2436</v>
      </c>
      <c r="F263" s="2" t="s">
        <v>30</v>
      </c>
      <c r="G263" s="2" t="s">
        <v>31</v>
      </c>
      <c r="H263" s="2" t="s">
        <v>32</v>
      </c>
      <c r="K263" s="2" t="s">
        <v>2437</v>
      </c>
      <c r="L263" s="3" t="s">
        <v>985</v>
      </c>
      <c r="M263" s="2" t="s">
        <v>2438</v>
      </c>
      <c r="O263" s="2" t="s">
        <v>779</v>
      </c>
      <c r="P263" s="2" t="s">
        <v>37</v>
      </c>
      <c r="R263" s="2" t="s">
        <v>2439</v>
      </c>
      <c r="T263" s="2" t="s">
        <v>97</v>
      </c>
      <c r="X263" s="2" t="n">
        <v>387</v>
      </c>
      <c r="Y263" s="2" t="s">
        <v>678</v>
      </c>
      <c r="Z263" s="3" t="s">
        <v>2440</v>
      </c>
    </row>
    <row r="264" customFormat="false" ht="13.8" hidden="false" customHeight="false" outlineLevel="0" collapsed="false">
      <c r="A264" s="0" t="str">
        <f aca="false">CONCATENATE("__import__.res_partner_",C264)</f>
        <v>__import__.res_partner_20000000388</v>
      </c>
      <c r="B264" s="2" t="s">
        <v>2441</v>
      </c>
      <c r="C264" s="3" t="s">
        <v>2442</v>
      </c>
      <c r="D264" s="2" t="s">
        <v>2443</v>
      </c>
      <c r="F264" s="2" t="s">
        <v>30</v>
      </c>
      <c r="G264" s="2" t="s">
        <v>31</v>
      </c>
      <c r="H264" s="2" t="s">
        <v>32</v>
      </c>
      <c r="K264" s="2" t="s">
        <v>2444</v>
      </c>
      <c r="L264" s="3" t="s">
        <v>2445</v>
      </c>
      <c r="M264" s="2" t="s">
        <v>2446</v>
      </c>
      <c r="O264" s="2" t="s">
        <v>2447</v>
      </c>
      <c r="P264" s="2" t="s">
        <v>37</v>
      </c>
      <c r="R264" s="2" t="s">
        <v>2448</v>
      </c>
      <c r="T264" s="2" t="s">
        <v>40</v>
      </c>
      <c r="X264" s="2" t="n">
        <v>388</v>
      </c>
      <c r="Y264" s="2" t="s">
        <v>678</v>
      </c>
      <c r="Z264" s="3" t="s">
        <v>2449</v>
      </c>
    </row>
    <row r="265" customFormat="false" ht="13.8" hidden="false" customHeight="false" outlineLevel="0" collapsed="false">
      <c r="A265" s="0" t="str">
        <f aca="false">CONCATENATE("__import__.res_partner_",C265)</f>
        <v>__import__.res_partner_20000000389</v>
      </c>
      <c r="B265" s="2" t="s">
        <v>2450</v>
      </c>
      <c r="C265" s="3" t="s">
        <v>2451</v>
      </c>
      <c r="D265" s="2" t="s">
        <v>2452</v>
      </c>
      <c r="F265" s="2" t="s">
        <v>30</v>
      </c>
      <c r="G265" s="2" t="s">
        <v>31</v>
      </c>
      <c r="H265" s="2" t="s">
        <v>32</v>
      </c>
      <c r="K265" s="2" t="s">
        <v>2453</v>
      </c>
      <c r="L265" s="3" t="s">
        <v>2454</v>
      </c>
      <c r="M265" s="2" t="s">
        <v>2455</v>
      </c>
      <c r="O265" s="2" t="s">
        <v>2456</v>
      </c>
      <c r="P265" s="2" t="s">
        <v>37</v>
      </c>
      <c r="R265" s="2" t="s">
        <v>2457</v>
      </c>
      <c r="T265" s="2" t="s">
        <v>40</v>
      </c>
      <c r="X265" s="2" t="n">
        <v>389</v>
      </c>
      <c r="Y265" s="2" t="s">
        <v>2458</v>
      </c>
      <c r="Z265" s="3" t="s">
        <v>2459</v>
      </c>
      <c r="AA265" s="2" t="s">
        <v>2460</v>
      </c>
    </row>
    <row r="266" customFormat="false" ht="13.8" hidden="false" customHeight="false" outlineLevel="0" collapsed="false">
      <c r="A266" s="0" t="str">
        <f aca="false">CONCATENATE("__import__.res_partner_",C266)</f>
        <v>__import__.res_partner_20000000390</v>
      </c>
      <c r="B266" s="2" t="s">
        <v>2461</v>
      </c>
      <c r="C266" s="3" t="s">
        <v>2462</v>
      </c>
      <c r="D266" s="2" t="s">
        <v>2463</v>
      </c>
      <c r="F266" s="2" t="s">
        <v>30</v>
      </c>
      <c r="G266" s="2" t="s">
        <v>31</v>
      </c>
      <c r="H266" s="2" t="s">
        <v>32</v>
      </c>
      <c r="K266" s="2" t="s">
        <v>2464</v>
      </c>
      <c r="L266" s="3" t="s">
        <v>2465</v>
      </c>
      <c r="M266" s="2" t="s">
        <v>2466</v>
      </c>
      <c r="O266" s="2" t="s">
        <v>2467</v>
      </c>
      <c r="P266" s="2" t="s">
        <v>37</v>
      </c>
      <c r="R266" s="2" t="s">
        <v>2468</v>
      </c>
      <c r="T266" s="2" t="s">
        <v>40</v>
      </c>
      <c r="X266" s="2" t="n">
        <v>390</v>
      </c>
      <c r="Y266" s="2" t="s">
        <v>678</v>
      </c>
      <c r="Z266" s="3" t="s">
        <v>2469</v>
      </c>
    </row>
    <row r="267" customFormat="false" ht="61.15" hidden="false" customHeight="false" outlineLevel="0" collapsed="false">
      <c r="A267" s="0" t="str">
        <f aca="false">CONCATENATE("__import__.res_partner_",C267)</f>
        <v>__import__.res_partner_20000000391</v>
      </c>
      <c r="B267" s="2" t="s">
        <v>2470</v>
      </c>
      <c r="C267" s="3" t="s">
        <v>2471</v>
      </c>
      <c r="D267" s="2" t="s">
        <v>2472</v>
      </c>
      <c r="F267" s="2" t="s">
        <v>30</v>
      </c>
      <c r="G267" s="2" t="s">
        <v>31</v>
      </c>
      <c r="H267" s="2" t="s">
        <v>32</v>
      </c>
      <c r="K267" s="2" t="s">
        <v>2473</v>
      </c>
      <c r="L267" s="3" t="s">
        <v>2474</v>
      </c>
      <c r="M267" s="2" t="s">
        <v>2475</v>
      </c>
      <c r="O267" s="2" t="s">
        <v>2476</v>
      </c>
      <c r="P267" s="2" t="s">
        <v>37</v>
      </c>
      <c r="R267" s="2" t="s">
        <v>2477</v>
      </c>
      <c r="T267" s="2" t="s">
        <v>40</v>
      </c>
      <c r="X267" s="2" t="n">
        <v>391</v>
      </c>
      <c r="Y267" s="2" t="s">
        <v>678</v>
      </c>
      <c r="Z267" s="3" t="s">
        <v>2478</v>
      </c>
      <c r="AA267" s="4" t="s">
        <v>2479</v>
      </c>
    </row>
    <row r="268" customFormat="false" ht="13.8" hidden="false" customHeight="false" outlineLevel="0" collapsed="false">
      <c r="A268" s="0" t="str">
        <f aca="false">CONCATENATE("__import__.res_partner_",C268)</f>
        <v>__import__.res_partner_20000000392</v>
      </c>
      <c r="B268" s="2" t="s">
        <v>2480</v>
      </c>
      <c r="C268" s="3" t="s">
        <v>2481</v>
      </c>
      <c r="D268" s="2" t="s">
        <v>2482</v>
      </c>
      <c r="F268" s="2" t="s">
        <v>30</v>
      </c>
      <c r="G268" s="2" t="s">
        <v>31</v>
      </c>
      <c r="H268" s="2" t="s">
        <v>32</v>
      </c>
      <c r="K268" s="2" t="s">
        <v>2483</v>
      </c>
      <c r="L268" s="3" t="s">
        <v>528</v>
      </c>
      <c r="M268" s="2" t="s">
        <v>2484</v>
      </c>
      <c r="O268" s="2" t="s">
        <v>2485</v>
      </c>
      <c r="P268" s="2" t="s">
        <v>37</v>
      </c>
      <c r="R268" s="2" t="s">
        <v>2486</v>
      </c>
      <c r="T268" s="2" t="s">
        <v>97</v>
      </c>
      <c r="X268" s="2" t="n">
        <v>392</v>
      </c>
      <c r="Y268" s="2" t="s">
        <v>678</v>
      </c>
      <c r="Z268" s="3" t="s">
        <v>2487</v>
      </c>
    </row>
    <row r="269" customFormat="false" ht="13.8" hidden="false" customHeight="false" outlineLevel="0" collapsed="false">
      <c r="A269" s="0" t="str">
        <f aca="false">CONCATENATE("__import__.res_partner_",C269)</f>
        <v>__import__.res_partner_20000000395</v>
      </c>
      <c r="B269" s="2" t="s">
        <v>2488</v>
      </c>
      <c r="C269" s="3" t="s">
        <v>2489</v>
      </c>
      <c r="D269" s="2" t="s">
        <v>2490</v>
      </c>
      <c r="F269" s="2" t="s">
        <v>30</v>
      </c>
      <c r="G269" s="2" t="s">
        <v>31</v>
      </c>
      <c r="H269" s="2" t="s">
        <v>32</v>
      </c>
      <c r="K269" s="2" t="s">
        <v>2491</v>
      </c>
      <c r="M269" s="2" t="s">
        <v>2492</v>
      </c>
      <c r="O269" s="2" t="s">
        <v>1556</v>
      </c>
      <c r="P269" s="2" t="s">
        <v>37</v>
      </c>
      <c r="R269" s="2" t="s">
        <v>2493</v>
      </c>
      <c r="T269" s="2" t="s">
        <v>2056</v>
      </c>
      <c r="X269" s="2" t="n">
        <v>395</v>
      </c>
      <c r="Y269" s="2" t="s">
        <v>678</v>
      </c>
      <c r="Z269" s="3" t="s">
        <v>2494</v>
      </c>
    </row>
    <row r="270" customFormat="false" ht="13.8" hidden="false" customHeight="false" outlineLevel="0" collapsed="false">
      <c r="A270" s="0" t="str">
        <f aca="false">CONCATENATE("__import__.res_partner_",C270)</f>
        <v>__import__.res_partner_20000000396</v>
      </c>
      <c r="B270" s="2" t="s">
        <v>2495</v>
      </c>
      <c r="C270" s="3" t="s">
        <v>2496</v>
      </c>
      <c r="D270" s="2" t="s">
        <v>2497</v>
      </c>
      <c r="F270" s="2" t="s">
        <v>30</v>
      </c>
      <c r="G270" s="2" t="s">
        <v>31</v>
      </c>
      <c r="H270" s="2" t="s">
        <v>32</v>
      </c>
      <c r="K270" s="2" t="s">
        <v>2498</v>
      </c>
      <c r="L270" s="3" t="s">
        <v>2499</v>
      </c>
      <c r="M270" s="2" t="s">
        <v>2500</v>
      </c>
      <c r="O270" s="2" t="s">
        <v>2501</v>
      </c>
      <c r="P270" s="2" t="s">
        <v>37</v>
      </c>
      <c r="R270" s="3" t="s">
        <v>2502</v>
      </c>
      <c r="T270" s="2" t="s">
        <v>40</v>
      </c>
      <c r="X270" s="2" t="n">
        <v>396</v>
      </c>
      <c r="Y270" s="2" t="s">
        <v>678</v>
      </c>
      <c r="Z270" s="3" t="s">
        <v>2503</v>
      </c>
    </row>
    <row r="271" customFormat="false" ht="13.8" hidden="false" customHeight="false" outlineLevel="0" collapsed="false">
      <c r="A271" s="0" t="str">
        <f aca="false">CONCATENATE("__import__.res_partner_",C271)</f>
        <v>__import__.res_partner_20000000397</v>
      </c>
      <c r="B271" s="2" t="s">
        <v>2504</v>
      </c>
      <c r="C271" s="3" t="s">
        <v>2505</v>
      </c>
      <c r="D271" s="2" t="s">
        <v>2506</v>
      </c>
      <c r="F271" s="2" t="s">
        <v>30</v>
      </c>
      <c r="G271" s="2" t="s">
        <v>31</v>
      </c>
      <c r="H271" s="2" t="s">
        <v>32</v>
      </c>
      <c r="K271" s="2" t="s">
        <v>2507</v>
      </c>
      <c r="L271" s="3" t="s">
        <v>2508</v>
      </c>
      <c r="M271" s="2" t="s">
        <v>2509</v>
      </c>
      <c r="O271" s="2" t="s">
        <v>2510</v>
      </c>
      <c r="P271" s="2" t="s">
        <v>37</v>
      </c>
      <c r="R271" s="2" t="s">
        <v>2511</v>
      </c>
      <c r="T271" s="2" t="s">
        <v>97</v>
      </c>
      <c r="X271" s="2" t="n">
        <v>397</v>
      </c>
      <c r="Y271" s="2" t="s">
        <v>678</v>
      </c>
      <c r="Z271" s="3" t="s">
        <v>2512</v>
      </c>
    </row>
    <row r="272" customFormat="false" ht="13.8" hidden="false" customHeight="false" outlineLevel="0" collapsed="false">
      <c r="A272" s="0" t="str">
        <f aca="false">CONCATENATE("__import__.res_partner_",C272)</f>
        <v>__import__.res_partner_20000000398</v>
      </c>
      <c r="B272" s="2" t="s">
        <v>2513</v>
      </c>
      <c r="C272" s="3" t="s">
        <v>2514</v>
      </c>
      <c r="D272" s="2" t="s">
        <v>2515</v>
      </c>
      <c r="F272" s="2" t="s">
        <v>30</v>
      </c>
      <c r="G272" s="2" t="s">
        <v>31</v>
      </c>
      <c r="H272" s="2" t="s">
        <v>32</v>
      </c>
      <c r="K272" s="2" t="s">
        <v>2516</v>
      </c>
      <c r="L272" s="3" t="s">
        <v>2517</v>
      </c>
      <c r="M272" s="2" t="s">
        <v>2518</v>
      </c>
      <c r="O272" s="2" t="s">
        <v>652</v>
      </c>
      <c r="P272" s="2" t="s">
        <v>37</v>
      </c>
      <c r="R272" s="2" t="s">
        <v>2519</v>
      </c>
      <c r="T272" s="2" t="s">
        <v>40</v>
      </c>
      <c r="X272" s="2" t="n">
        <v>398</v>
      </c>
      <c r="Y272" s="2" t="s">
        <v>678</v>
      </c>
      <c r="Z272" s="3" t="s">
        <v>2520</v>
      </c>
    </row>
    <row r="273" customFormat="false" ht="13.8" hidden="false" customHeight="false" outlineLevel="0" collapsed="false">
      <c r="A273" s="0" t="str">
        <f aca="false">CONCATENATE("__import__.res_partner_",C273)</f>
        <v>__import__.res_partner_20000000399</v>
      </c>
      <c r="B273" s="2" t="s">
        <v>2521</v>
      </c>
      <c r="C273" s="3" t="s">
        <v>2522</v>
      </c>
      <c r="D273" s="2" t="s">
        <v>2523</v>
      </c>
      <c r="F273" s="2" t="s">
        <v>30</v>
      </c>
      <c r="G273" s="2" t="s">
        <v>31</v>
      </c>
      <c r="H273" s="2" t="s">
        <v>32</v>
      </c>
      <c r="K273" s="2" t="s">
        <v>2524</v>
      </c>
      <c r="L273" s="3" t="s">
        <v>345</v>
      </c>
      <c r="M273" s="2" t="s">
        <v>2525</v>
      </c>
      <c r="O273" s="2" t="s">
        <v>347</v>
      </c>
      <c r="P273" s="2" t="s">
        <v>37</v>
      </c>
      <c r="R273" s="2" t="s">
        <v>2526</v>
      </c>
      <c r="T273" s="2" t="s">
        <v>40</v>
      </c>
      <c r="X273" s="2" t="n">
        <v>399</v>
      </c>
      <c r="Y273" s="2" t="s">
        <v>678</v>
      </c>
      <c r="Z273" s="3" t="s">
        <v>2527</v>
      </c>
    </row>
    <row r="274" customFormat="false" ht="13.8" hidden="false" customHeight="false" outlineLevel="0" collapsed="false">
      <c r="A274" s="0" t="str">
        <f aca="false">CONCATENATE("__import__.res_partner_",C274)</f>
        <v>__import__.res_partner_20000000400</v>
      </c>
      <c r="B274" s="2" t="s">
        <v>2528</v>
      </c>
      <c r="C274" s="3" t="s">
        <v>2529</v>
      </c>
      <c r="D274" s="2" t="s">
        <v>2530</v>
      </c>
      <c r="F274" s="2" t="s">
        <v>30</v>
      </c>
      <c r="G274" s="2" t="s">
        <v>31</v>
      </c>
      <c r="H274" s="2" t="s">
        <v>32</v>
      </c>
      <c r="K274" s="2" t="s">
        <v>2531</v>
      </c>
      <c r="L274" s="3" t="s">
        <v>2532</v>
      </c>
      <c r="M274" s="2" t="s">
        <v>2533</v>
      </c>
      <c r="O274" s="2" t="s">
        <v>49</v>
      </c>
      <c r="P274" s="2" t="s">
        <v>37</v>
      </c>
      <c r="R274" s="2" t="s">
        <v>2534</v>
      </c>
      <c r="T274" s="2" t="s">
        <v>40</v>
      </c>
      <c r="X274" s="2" t="n">
        <v>400</v>
      </c>
      <c r="Y274" s="2" t="s">
        <v>678</v>
      </c>
      <c r="Z274" s="3" t="s">
        <v>2535</v>
      </c>
    </row>
    <row r="275" customFormat="false" ht="27.75" hidden="false" customHeight="false" outlineLevel="0" collapsed="false">
      <c r="A275" s="0" t="str">
        <f aca="false">CONCATENATE("__import__.res_partner_",C275)</f>
        <v>__import__.res_partner_20000000401</v>
      </c>
      <c r="B275" s="2" t="s">
        <v>2536</v>
      </c>
      <c r="C275" s="3" t="s">
        <v>2537</v>
      </c>
      <c r="D275" s="2" t="s">
        <v>2538</v>
      </c>
      <c r="F275" s="2" t="s">
        <v>30</v>
      </c>
      <c r="G275" s="2" t="s">
        <v>31</v>
      </c>
      <c r="H275" s="2" t="s">
        <v>32</v>
      </c>
      <c r="K275" s="2" t="s">
        <v>2539</v>
      </c>
      <c r="L275" s="3" t="s">
        <v>373</v>
      </c>
      <c r="M275" s="2" t="s">
        <v>2540</v>
      </c>
      <c r="O275" s="2" t="s">
        <v>375</v>
      </c>
      <c r="P275" s="2" t="s">
        <v>37</v>
      </c>
      <c r="R275" s="2" t="s">
        <v>2541</v>
      </c>
      <c r="T275" s="2" t="s">
        <v>40</v>
      </c>
      <c r="X275" s="2" t="n">
        <v>401</v>
      </c>
      <c r="Y275" s="2" t="s">
        <v>678</v>
      </c>
      <c r="Z275" s="3" t="s">
        <v>2542</v>
      </c>
      <c r="AA275" s="4" t="s">
        <v>2543</v>
      </c>
    </row>
    <row r="276" customFormat="false" ht="13.8" hidden="false" customHeight="false" outlineLevel="0" collapsed="false">
      <c r="A276" s="0" t="str">
        <f aca="false">CONCATENATE("__import__.res_partner_",C276)</f>
        <v>__import__.res_partner_20000000402</v>
      </c>
      <c r="B276" s="2" t="s">
        <v>2544</v>
      </c>
      <c r="C276" s="3" t="s">
        <v>2545</v>
      </c>
      <c r="D276" s="2" t="s">
        <v>2546</v>
      </c>
      <c r="F276" s="2" t="s">
        <v>30</v>
      </c>
      <c r="G276" s="2" t="s">
        <v>31</v>
      </c>
      <c r="H276" s="2" t="s">
        <v>32</v>
      </c>
      <c r="K276" s="2" t="s">
        <v>2547</v>
      </c>
      <c r="L276" s="3" t="s">
        <v>2548</v>
      </c>
      <c r="M276" s="2" t="s">
        <v>2549</v>
      </c>
      <c r="O276" s="2" t="s">
        <v>779</v>
      </c>
      <c r="P276" s="2" t="s">
        <v>37</v>
      </c>
      <c r="R276" s="2" t="s">
        <v>2550</v>
      </c>
      <c r="T276" s="2" t="s">
        <v>40</v>
      </c>
      <c r="X276" s="2" t="n">
        <v>402</v>
      </c>
      <c r="Y276" s="2" t="s">
        <v>678</v>
      </c>
      <c r="Z276" s="3" t="s">
        <v>2551</v>
      </c>
    </row>
    <row r="277" customFormat="false" ht="13.8" hidden="false" customHeight="false" outlineLevel="0" collapsed="false">
      <c r="A277" s="0" t="str">
        <f aca="false">CONCATENATE("__import__.res_partner_",C277)</f>
        <v>__import__.res_partner_20000000403</v>
      </c>
      <c r="B277" s="2" t="s">
        <v>2552</v>
      </c>
      <c r="C277" s="3" t="s">
        <v>2553</v>
      </c>
      <c r="D277" s="2" t="s">
        <v>2554</v>
      </c>
      <c r="F277" s="2" t="s">
        <v>30</v>
      </c>
      <c r="G277" s="2" t="s">
        <v>31</v>
      </c>
      <c r="H277" s="2" t="s">
        <v>32</v>
      </c>
      <c r="K277" s="2" t="s">
        <v>2555</v>
      </c>
      <c r="L277" s="3" t="s">
        <v>2556</v>
      </c>
      <c r="M277" s="2" t="s">
        <v>2557</v>
      </c>
      <c r="O277" s="2" t="s">
        <v>2558</v>
      </c>
      <c r="P277" s="2" t="s">
        <v>37</v>
      </c>
      <c r="R277" s="2" t="s">
        <v>2559</v>
      </c>
      <c r="T277" s="2" t="s">
        <v>40</v>
      </c>
      <c r="X277" s="2" t="n">
        <v>403</v>
      </c>
      <c r="Y277" s="2" t="s">
        <v>678</v>
      </c>
      <c r="Z277" s="3" t="s">
        <v>2560</v>
      </c>
    </row>
    <row r="278" customFormat="false" ht="13.8" hidden="false" customHeight="false" outlineLevel="0" collapsed="false">
      <c r="A278" s="0" t="str">
        <f aca="false">CONCATENATE("__import__.res_partner_",C278)</f>
        <v>__import__.res_partner_20000000404</v>
      </c>
      <c r="B278" s="2" t="s">
        <v>2561</v>
      </c>
      <c r="C278" s="3" t="s">
        <v>2562</v>
      </c>
      <c r="D278" s="2" t="s">
        <v>2563</v>
      </c>
      <c r="F278" s="2" t="s">
        <v>30</v>
      </c>
      <c r="G278" s="2" t="s">
        <v>31</v>
      </c>
      <c r="H278" s="2" t="s">
        <v>32</v>
      </c>
      <c r="K278" s="2" t="s">
        <v>2564</v>
      </c>
      <c r="L278" s="3" t="s">
        <v>2565</v>
      </c>
      <c r="M278" s="2" t="s">
        <v>2566</v>
      </c>
      <c r="N278" s="2" t="s">
        <v>2567</v>
      </c>
      <c r="O278" s="2" t="s">
        <v>1979</v>
      </c>
      <c r="P278" s="2" t="s">
        <v>37</v>
      </c>
      <c r="R278" s="2" t="s">
        <v>2568</v>
      </c>
      <c r="T278" s="2" t="s">
        <v>40</v>
      </c>
      <c r="X278" s="2" t="n">
        <v>404</v>
      </c>
      <c r="Y278" s="2" t="s">
        <v>678</v>
      </c>
      <c r="Z278" s="3" t="s">
        <v>2569</v>
      </c>
    </row>
    <row r="279" customFormat="false" ht="13.8" hidden="false" customHeight="false" outlineLevel="0" collapsed="false">
      <c r="A279" s="0" t="str">
        <f aca="false">CONCATENATE("__import__.res_partner_",C279)</f>
        <v>__import__.res_partner_20000000405</v>
      </c>
      <c r="B279" s="2" t="s">
        <v>2570</v>
      </c>
      <c r="C279" s="3" t="s">
        <v>2571</v>
      </c>
      <c r="D279" s="2" t="s">
        <v>2572</v>
      </c>
      <c r="F279" s="2" t="s">
        <v>30</v>
      </c>
      <c r="G279" s="2" t="s">
        <v>31</v>
      </c>
      <c r="H279" s="2" t="s">
        <v>32</v>
      </c>
      <c r="K279" s="2" t="s">
        <v>2573</v>
      </c>
      <c r="L279" s="3" t="s">
        <v>902</v>
      </c>
      <c r="M279" s="2" t="s">
        <v>2574</v>
      </c>
      <c r="O279" s="2" t="s">
        <v>2575</v>
      </c>
      <c r="P279" s="2" t="s">
        <v>37</v>
      </c>
      <c r="R279" s="2" t="s">
        <v>2576</v>
      </c>
      <c r="T279" s="2" t="s">
        <v>40</v>
      </c>
      <c r="X279" s="2" t="n">
        <v>405</v>
      </c>
      <c r="Y279" s="2" t="s">
        <v>678</v>
      </c>
      <c r="Z279" s="3" t="s">
        <v>2577</v>
      </c>
    </row>
    <row r="280" customFormat="false" ht="13.8" hidden="false" customHeight="false" outlineLevel="0" collapsed="false">
      <c r="A280" s="0" t="str">
        <f aca="false">CONCATENATE("__import__.res_partner_",C280)</f>
        <v>__import__.res_partner_20000000406</v>
      </c>
      <c r="B280" s="2" t="s">
        <v>2578</v>
      </c>
      <c r="C280" s="3" t="s">
        <v>2579</v>
      </c>
      <c r="D280" s="2" t="s">
        <v>2580</v>
      </c>
      <c r="F280" s="2" t="s">
        <v>30</v>
      </c>
      <c r="G280" s="2" t="s">
        <v>31</v>
      </c>
      <c r="H280" s="2" t="s">
        <v>32</v>
      </c>
      <c r="K280" s="2" t="s">
        <v>2581</v>
      </c>
      <c r="L280" s="3" t="s">
        <v>2582</v>
      </c>
      <c r="M280" s="2" t="s">
        <v>2583</v>
      </c>
      <c r="N280" s="2" t="s">
        <v>2584</v>
      </c>
      <c r="O280" s="2" t="s">
        <v>2585</v>
      </c>
      <c r="P280" s="2" t="s">
        <v>37</v>
      </c>
      <c r="R280" s="2" t="s">
        <v>2586</v>
      </c>
      <c r="T280" s="2" t="s">
        <v>40</v>
      </c>
      <c r="X280" s="2" t="n">
        <v>406</v>
      </c>
      <c r="Y280" s="2" t="s">
        <v>678</v>
      </c>
      <c r="Z280" s="3" t="s">
        <v>2587</v>
      </c>
    </row>
    <row r="281" customFormat="false" ht="28.5" hidden="false" customHeight="false" outlineLevel="0" collapsed="false">
      <c r="A281" s="0" t="str">
        <f aca="false">CONCATENATE("__import__.res_partner_",C281)</f>
        <v>__import__.res_partner_20000000407</v>
      </c>
      <c r="B281" s="2" t="s">
        <v>2588</v>
      </c>
      <c r="C281" s="3" t="s">
        <v>2589</v>
      </c>
      <c r="D281" s="2" t="s">
        <v>2590</v>
      </c>
      <c r="F281" s="2" t="s">
        <v>30</v>
      </c>
      <c r="G281" s="2" t="s">
        <v>31</v>
      </c>
      <c r="H281" s="2" t="s">
        <v>32</v>
      </c>
      <c r="K281" s="2" t="s">
        <v>2591</v>
      </c>
      <c r="L281" s="3" t="s">
        <v>1404</v>
      </c>
      <c r="M281" s="2" t="s">
        <v>2592</v>
      </c>
      <c r="N281" s="2" t="s">
        <v>2593</v>
      </c>
      <c r="O281" s="2" t="s">
        <v>2594</v>
      </c>
      <c r="P281" s="2" t="s">
        <v>37</v>
      </c>
      <c r="R281" s="2" t="s">
        <v>2595</v>
      </c>
      <c r="T281" s="2" t="s">
        <v>97</v>
      </c>
      <c r="X281" s="2" t="n">
        <v>407</v>
      </c>
      <c r="Y281" s="2" t="s">
        <v>678</v>
      </c>
      <c r="Z281" s="3" t="s">
        <v>2596</v>
      </c>
      <c r="AA281" s="4" t="s">
        <v>2597</v>
      </c>
    </row>
    <row r="282" customFormat="false" ht="13.8" hidden="false" customHeight="false" outlineLevel="0" collapsed="false">
      <c r="A282" s="0" t="str">
        <f aca="false">CONCATENATE("__import__.res_partner_",C282)</f>
        <v>__import__.res_partner_20000000409</v>
      </c>
      <c r="B282" s="2" t="s">
        <v>2598</v>
      </c>
      <c r="C282" s="3" t="s">
        <v>2599</v>
      </c>
      <c r="D282" s="2" t="s">
        <v>2600</v>
      </c>
      <c r="F282" s="2" t="s">
        <v>30</v>
      </c>
      <c r="G282" s="2" t="s">
        <v>31</v>
      </c>
      <c r="H282" s="2" t="s">
        <v>32</v>
      </c>
      <c r="K282" s="2" t="s">
        <v>2601</v>
      </c>
      <c r="L282" s="3" t="s">
        <v>2602</v>
      </c>
      <c r="M282" s="2" t="s">
        <v>2603</v>
      </c>
      <c r="N282" s="2" t="s">
        <v>2604</v>
      </c>
      <c r="O282" s="2" t="s">
        <v>2605</v>
      </c>
      <c r="P282" s="2" t="s">
        <v>37</v>
      </c>
      <c r="Q282" s="2" t="s">
        <v>2606</v>
      </c>
      <c r="R282" s="2" t="s">
        <v>2607</v>
      </c>
      <c r="T282" s="2" t="s">
        <v>697</v>
      </c>
      <c r="W282" s="2" t="s">
        <v>2608</v>
      </c>
      <c r="X282" s="2" t="n">
        <v>409</v>
      </c>
      <c r="Y282" s="2" t="s">
        <v>2609</v>
      </c>
      <c r="Z282" s="3" t="s">
        <v>2610</v>
      </c>
    </row>
    <row r="283" customFormat="false" ht="13.8" hidden="false" customHeight="false" outlineLevel="0" collapsed="false">
      <c r="A283" s="0" t="str">
        <f aca="false">CONCATENATE("__import__.res_partner_",C283)</f>
        <v>__import__.res_partner_20000000410</v>
      </c>
      <c r="B283" s="2" t="s">
        <v>2611</v>
      </c>
      <c r="C283" s="3" t="s">
        <v>2612</v>
      </c>
      <c r="D283" s="2" t="s">
        <v>2613</v>
      </c>
      <c r="F283" s="2" t="s">
        <v>30</v>
      </c>
      <c r="G283" s="2" t="s">
        <v>31</v>
      </c>
      <c r="H283" s="2" t="s">
        <v>32</v>
      </c>
      <c r="K283" s="2" t="s">
        <v>2614</v>
      </c>
      <c r="L283" s="3" t="s">
        <v>2615</v>
      </c>
      <c r="M283" s="2" t="s">
        <v>2616</v>
      </c>
      <c r="O283" s="2" t="s">
        <v>49</v>
      </c>
      <c r="P283" s="2" t="s">
        <v>37</v>
      </c>
      <c r="R283" s="2" t="s">
        <v>2617</v>
      </c>
      <c r="T283" s="2" t="s">
        <v>40</v>
      </c>
      <c r="X283" s="2" t="n">
        <v>410</v>
      </c>
      <c r="Y283" s="2" t="s">
        <v>678</v>
      </c>
      <c r="Z283" s="3" t="s">
        <v>2618</v>
      </c>
    </row>
    <row r="284" customFormat="false" ht="13.8" hidden="false" customHeight="false" outlineLevel="0" collapsed="false">
      <c r="A284" s="0" t="str">
        <f aca="false">CONCATENATE("__import__.res_partner_",C284)</f>
        <v>__import__.res_partner_20000000411</v>
      </c>
      <c r="B284" s="2" t="s">
        <v>2619</v>
      </c>
      <c r="C284" s="3" t="s">
        <v>2620</v>
      </c>
      <c r="D284" s="2" t="s">
        <v>2621</v>
      </c>
      <c r="F284" s="2" t="s">
        <v>30</v>
      </c>
      <c r="G284" s="2" t="s">
        <v>31</v>
      </c>
      <c r="H284" s="2" t="s">
        <v>32</v>
      </c>
      <c r="K284" s="2" t="s">
        <v>2622</v>
      </c>
      <c r="L284" s="3" t="s">
        <v>2623</v>
      </c>
      <c r="M284" s="2" t="s">
        <v>2624</v>
      </c>
      <c r="O284" s="2" t="s">
        <v>49</v>
      </c>
      <c r="P284" s="2" t="s">
        <v>37</v>
      </c>
      <c r="R284" s="2" t="s">
        <v>2625</v>
      </c>
      <c r="T284" s="2" t="s">
        <v>40</v>
      </c>
      <c r="X284" s="2" t="n">
        <v>411</v>
      </c>
      <c r="Y284" s="2" t="s">
        <v>678</v>
      </c>
      <c r="Z284" s="3" t="s">
        <v>2626</v>
      </c>
    </row>
    <row r="285" customFormat="false" ht="13.8" hidden="false" customHeight="false" outlineLevel="0" collapsed="false">
      <c r="A285" s="0" t="str">
        <f aca="false">CONCATENATE("__import__.res_partner_",C285)</f>
        <v>__import__.res_partner_20000000412</v>
      </c>
      <c r="B285" s="2" t="s">
        <v>2627</v>
      </c>
      <c r="C285" s="3" t="s">
        <v>2628</v>
      </c>
      <c r="D285" s="2" t="s">
        <v>2629</v>
      </c>
      <c r="F285" s="2" t="s">
        <v>30</v>
      </c>
      <c r="G285" s="2" t="s">
        <v>31</v>
      </c>
      <c r="H285" s="2" t="s">
        <v>32</v>
      </c>
      <c r="K285" s="2" t="s">
        <v>2630</v>
      </c>
      <c r="L285" s="3" t="s">
        <v>2631</v>
      </c>
      <c r="M285" s="2" t="s">
        <v>2632</v>
      </c>
      <c r="O285" s="2" t="s">
        <v>2633</v>
      </c>
      <c r="P285" s="2" t="s">
        <v>37</v>
      </c>
      <c r="R285" s="2" t="s">
        <v>2634</v>
      </c>
      <c r="T285" s="2" t="s">
        <v>40</v>
      </c>
      <c r="X285" s="2" t="n">
        <v>412</v>
      </c>
      <c r="Y285" s="2" t="s">
        <v>678</v>
      </c>
      <c r="Z285" s="3" t="s">
        <v>2635</v>
      </c>
    </row>
    <row r="286" customFormat="false" ht="13.8" hidden="false" customHeight="false" outlineLevel="0" collapsed="false">
      <c r="A286" s="0" t="str">
        <f aca="false">CONCATENATE("__import__.res_partner_",C286)</f>
        <v>__import__.res_partner_20000000414</v>
      </c>
      <c r="B286" s="2" t="s">
        <v>2636</v>
      </c>
      <c r="C286" s="3" t="s">
        <v>2637</v>
      </c>
      <c r="D286" s="2" t="s">
        <v>2638</v>
      </c>
      <c r="F286" s="2" t="s">
        <v>30</v>
      </c>
      <c r="G286" s="2" t="s">
        <v>31</v>
      </c>
      <c r="H286" s="2" t="s">
        <v>32</v>
      </c>
      <c r="K286" s="2" t="s">
        <v>2639</v>
      </c>
      <c r="L286" s="3" t="s">
        <v>1498</v>
      </c>
      <c r="M286" s="2" t="s">
        <v>2640</v>
      </c>
      <c r="O286" s="2" t="s">
        <v>1500</v>
      </c>
      <c r="P286" s="2" t="s">
        <v>37</v>
      </c>
      <c r="R286" s="2" t="s">
        <v>2641</v>
      </c>
      <c r="T286" s="2" t="s">
        <v>40</v>
      </c>
      <c r="X286" s="2" t="n">
        <v>414</v>
      </c>
      <c r="Y286" s="2" t="s">
        <v>678</v>
      </c>
      <c r="Z286" s="3" t="s">
        <v>2642</v>
      </c>
    </row>
    <row r="287" customFormat="false" ht="13.8" hidden="false" customHeight="false" outlineLevel="0" collapsed="false">
      <c r="A287" s="0" t="str">
        <f aca="false">CONCATENATE("__import__.res_partner_",C287)</f>
        <v>__import__.res_partner_20000000416</v>
      </c>
      <c r="B287" s="2" t="s">
        <v>2643</v>
      </c>
      <c r="C287" s="3" t="s">
        <v>2644</v>
      </c>
      <c r="D287" s="2" t="s">
        <v>2645</v>
      </c>
      <c r="F287" s="2" t="s">
        <v>30</v>
      </c>
      <c r="G287" s="2" t="s">
        <v>31</v>
      </c>
      <c r="H287" s="2" t="s">
        <v>32</v>
      </c>
      <c r="K287" s="2" t="s">
        <v>2646</v>
      </c>
      <c r="L287" s="3" t="s">
        <v>2647</v>
      </c>
      <c r="M287" s="2" t="s">
        <v>2648</v>
      </c>
      <c r="O287" s="2" t="s">
        <v>779</v>
      </c>
      <c r="P287" s="2" t="s">
        <v>37</v>
      </c>
      <c r="R287" s="2" t="s">
        <v>2649</v>
      </c>
      <c r="T287" s="2" t="s">
        <v>40</v>
      </c>
      <c r="X287" s="2" t="n">
        <v>416</v>
      </c>
      <c r="Y287" s="2" t="s">
        <v>678</v>
      </c>
      <c r="Z287" s="3" t="s">
        <v>2650</v>
      </c>
    </row>
    <row r="288" customFormat="false" ht="13.8" hidden="false" customHeight="false" outlineLevel="0" collapsed="false">
      <c r="A288" s="0" t="str">
        <f aca="false">CONCATENATE("__import__.res_partner_",C288)</f>
        <v>__import__.res_partner_20000000417</v>
      </c>
      <c r="B288" s="2" t="s">
        <v>2651</v>
      </c>
      <c r="C288" s="3" t="s">
        <v>2652</v>
      </c>
      <c r="D288" s="2" t="s">
        <v>2653</v>
      </c>
      <c r="F288" s="2" t="s">
        <v>30</v>
      </c>
      <c r="G288" s="2" t="s">
        <v>31</v>
      </c>
      <c r="H288" s="2" t="s">
        <v>32</v>
      </c>
      <c r="K288" s="2" t="s">
        <v>2654</v>
      </c>
      <c r="L288" s="3" t="s">
        <v>2655</v>
      </c>
      <c r="M288" s="2" t="s">
        <v>2656</v>
      </c>
      <c r="O288" s="2" t="s">
        <v>2657</v>
      </c>
      <c r="P288" s="2" t="s">
        <v>37</v>
      </c>
      <c r="R288" s="2" t="s">
        <v>2658</v>
      </c>
      <c r="T288" s="2" t="s">
        <v>40</v>
      </c>
      <c r="X288" s="2" t="n">
        <v>417</v>
      </c>
      <c r="Y288" s="2" t="s">
        <v>678</v>
      </c>
      <c r="Z288" s="3" t="s">
        <v>2659</v>
      </c>
    </row>
    <row r="289" customFormat="false" ht="13.8" hidden="false" customHeight="false" outlineLevel="0" collapsed="false">
      <c r="A289" s="0" t="str">
        <f aca="false">CONCATENATE("__import__.res_partner_",C289)</f>
        <v>__import__.res_partner_20000000419</v>
      </c>
      <c r="B289" s="2" t="s">
        <v>2660</v>
      </c>
      <c r="C289" s="3" t="s">
        <v>2661</v>
      </c>
      <c r="D289" s="2" t="s">
        <v>2662</v>
      </c>
      <c r="F289" s="3" t="s">
        <v>557</v>
      </c>
      <c r="G289" s="2" t="s">
        <v>31</v>
      </c>
      <c r="H289" s="2" t="s">
        <v>32</v>
      </c>
      <c r="K289" s="2" t="s">
        <v>2663</v>
      </c>
      <c r="L289" s="3" t="s">
        <v>2664</v>
      </c>
      <c r="M289" s="2" t="s">
        <v>2665</v>
      </c>
      <c r="O289" s="2" t="s">
        <v>2666</v>
      </c>
      <c r="P289" s="2" t="s">
        <v>37</v>
      </c>
      <c r="Q289" s="2" t="s">
        <v>2667</v>
      </c>
      <c r="R289" s="2" t="s">
        <v>2668</v>
      </c>
      <c r="T289" s="2" t="s">
        <v>40</v>
      </c>
      <c r="X289" s="2" t="n">
        <v>419</v>
      </c>
      <c r="Y289" s="2" t="s">
        <v>2669</v>
      </c>
      <c r="Z289" s="3" t="s">
        <v>2670</v>
      </c>
    </row>
    <row r="290" customFormat="false" ht="13.8" hidden="false" customHeight="false" outlineLevel="0" collapsed="false">
      <c r="A290" s="0" t="str">
        <f aca="false">CONCATENATE("__import__.res_partner_",C290)</f>
        <v>__import__.res_partner_20000000420</v>
      </c>
      <c r="B290" s="2" t="s">
        <v>2671</v>
      </c>
      <c r="C290" s="3" t="s">
        <v>2672</v>
      </c>
      <c r="D290" s="2" t="s">
        <v>2673</v>
      </c>
      <c r="F290" s="2" t="s">
        <v>30</v>
      </c>
      <c r="G290" s="2" t="s">
        <v>31</v>
      </c>
      <c r="H290" s="2" t="s">
        <v>32</v>
      </c>
      <c r="K290" s="2" t="s">
        <v>2674</v>
      </c>
      <c r="L290" s="3" t="s">
        <v>2675</v>
      </c>
      <c r="M290" s="2" t="s">
        <v>2676</v>
      </c>
      <c r="O290" s="2" t="s">
        <v>779</v>
      </c>
      <c r="P290" s="2" t="s">
        <v>37</v>
      </c>
      <c r="R290" s="2" t="s">
        <v>2677</v>
      </c>
      <c r="T290" s="2" t="s">
        <v>40</v>
      </c>
      <c r="X290" s="2" t="n">
        <v>420</v>
      </c>
      <c r="Y290" s="2" t="s">
        <v>678</v>
      </c>
      <c r="Z290" s="3" t="s">
        <v>2678</v>
      </c>
    </row>
    <row r="291" customFormat="false" ht="13.8" hidden="false" customHeight="false" outlineLevel="0" collapsed="false">
      <c r="A291" s="0" t="str">
        <f aca="false">CONCATENATE("__import__.res_partner_",C291)</f>
        <v>__import__.res_partner_20000000422</v>
      </c>
      <c r="B291" s="2" t="s">
        <v>2679</v>
      </c>
      <c r="C291" s="3" t="s">
        <v>2680</v>
      </c>
      <c r="D291" s="2" t="s">
        <v>2681</v>
      </c>
      <c r="F291" s="2" t="s">
        <v>30</v>
      </c>
      <c r="G291" s="2" t="s">
        <v>31</v>
      </c>
      <c r="H291" s="2" t="s">
        <v>32</v>
      </c>
      <c r="K291" s="2" t="s">
        <v>2682</v>
      </c>
      <c r="L291" s="3" t="s">
        <v>749</v>
      </c>
      <c r="M291" s="2" t="s">
        <v>2683</v>
      </c>
      <c r="O291" s="2" t="s">
        <v>36</v>
      </c>
      <c r="P291" s="2" t="s">
        <v>37</v>
      </c>
      <c r="R291" s="2" t="s">
        <v>2684</v>
      </c>
      <c r="T291" s="2" t="s">
        <v>40</v>
      </c>
      <c r="X291" s="2" t="n">
        <v>422</v>
      </c>
      <c r="Y291" s="2" t="s">
        <v>2685</v>
      </c>
      <c r="Z291" s="3" t="s">
        <v>2686</v>
      </c>
    </row>
    <row r="292" customFormat="false" ht="13.8" hidden="false" customHeight="false" outlineLevel="0" collapsed="false">
      <c r="A292" s="0" t="str">
        <f aca="false">CONCATENATE("__import__.res_partner_",C292)</f>
        <v>__import__.res_partner_20000000423</v>
      </c>
      <c r="B292" s="2" t="s">
        <v>2687</v>
      </c>
      <c r="C292" s="3" t="s">
        <v>2688</v>
      </c>
      <c r="D292" s="2" t="s">
        <v>2689</v>
      </c>
      <c r="F292" s="2" t="s">
        <v>30</v>
      </c>
      <c r="G292" s="2" t="s">
        <v>31</v>
      </c>
      <c r="H292" s="2" t="s">
        <v>32</v>
      </c>
      <c r="K292" s="2" t="s">
        <v>2690</v>
      </c>
      <c r="L292" s="3" t="s">
        <v>2691</v>
      </c>
      <c r="M292" s="2" t="s">
        <v>2692</v>
      </c>
      <c r="O292" s="2" t="s">
        <v>461</v>
      </c>
      <c r="P292" s="2" t="s">
        <v>37</v>
      </c>
      <c r="R292" s="2" t="s">
        <v>2693</v>
      </c>
      <c r="T292" s="2" t="s">
        <v>40</v>
      </c>
      <c r="X292" s="2" t="n">
        <v>423</v>
      </c>
      <c r="Y292" s="2" t="s">
        <v>678</v>
      </c>
      <c r="Z292" s="3" t="s">
        <v>2694</v>
      </c>
    </row>
    <row r="293" customFormat="false" ht="13.8" hidden="false" customHeight="false" outlineLevel="0" collapsed="false">
      <c r="A293" s="0" t="str">
        <f aca="false">CONCATENATE("__import__.res_partner_",C293)</f>
        <v>__import__.res_partner_20000000424</v>
      </c>
      <c r="B293" s="2" t="s">
        <v>2695</v>
      </c>
      <c r="C293" s="3" t="s">
        <v>2696</v>
      </c>
      <c r="D293" s="2" t="s">
        <v>2697</v>
      </c>
      <c r="F293" s="2" t="s">
        <v>30</v>
      </c>
      <c r="G293" s="2" t="s">
        <v>31</v>
      </c>
      <c r="H293" s="2" t="s">
        <v>32</v>
      </c>
      <c r="K293" s="2" t="s">
        <v>2698</v>
      </c>
      <c r="L293" s="3" t="s">
        <v>2699</v>
      </c>
      <c r="M293" s="2" t="s">
        <v>2700</v>
      </c>
      <c r="O293" s="2" t="s">
        <v>2701</v>
      </c>
      <c r="P293" s="2" t="s">
        <v>563</v>
      </c>
      <c r="R293" s="2" t="s">
        <v>2702</v>
      </c>
      <c r="T293" s="2" t="s">
        <v>40</v>
      </c>
      <c r="X293" s="2" t="n">
        <v>424</v>
      </c>
      <c r="Y293" s="2" t="s">
        <v>678</v>
      </c>
      <c r="Z293" s="3" t="s">
        <v>2703</v>
      </c>
    </row>
    <row r="294" customFormat="false" ht="72" hidden="false" customHeight="false" outlineLevel="0" collapsed="false">
      <c r="A294" s="0" t="str">
        <f aca="false">CONCATENATE("__import__.res_partner_",C294)</f>
        <v>__import__.res_partner_20000000434</v>
      </c>
      <c r="B294" s="2" t="s">
        <v>2704</v>
      </c>
      <c r="C294" s="3" t="s">
        <v>2705</v>
      </c>
      <c r="D294" s="2" t="s">
        <v>2706</v>
      </c>
      <c r="F294" s="2" t="s">
        <v>30</v>
      </c>
      <c r="G294" s="2" t="s">
        <v>31</v>
      </c>
      <c r="H294" s="2" t="s">
        <v>32</v>
      </c>
      <c r="K294" s="2" t="s">
        <v>2707</v>
      </c>
      <c r="L294" s="3" t="s">
        <v>393</v>
      </c>
      <c r="M294" s="2" t="s">
        <v>2708</v>
      </c>
      <c r="O294" s="2" t="s">
        <v>2709</v>
      </c>
      <c r="P294" s="2" t="s">
        <v>37</v>
      </c>
      <c r="Q294" s="2" t="s">
        <v>2710</v>
      </c>
      <c r="R294" s="2" t="s">
        <v>2711</v>
      </c>
      <c r="T294" s="2" t="s">
        <v>40</v>
      </c>
      <c r="X294" s="2" t="n">
        <v>434</v>
      </c>
      <c r="Y294" s="2" t="s">
        <v>2712</v>
      </c>
      <c r="Z294" s="3" t="s">
        <v>2713</v>
      </c>
      <c r="AA294" s="4" t="s">
        <v>2714</v>
      </c>
    </row>
    <row r="295" customFormat="false" ht="61.15" hidden="false" customHeight="false" outlineLevel="0" collapsed="false">
      <c r="A295" s="0" t="str">
        <f aca="false">CONCATENATE("__import__.res_partner_",C295)</f>
        <v>__import__.res_partner_20000000435</v>
      </c>
      <c r="B295" s="2" t="s">
        <v>2715</v>
      </c>
      <c r="C295" s="3" t="s">
        <v>2716</v>
      </c>
      <c r="D295" s="2" t="s">
        <v>2717</v>
      </c>
      <c r="F295" s="2" t="s">
        <v>30</v>
      </c>
      <c r="G295" s="2" t="s">
        <v>31</v>
      </c>
      <c r="H295" s="2" t="s">
        <v>32</v>
      </c>
      <c r="K295" s="2" t="s">
        <v>2718</v>
      </c>
      <c r="L295" s="3" t="s">
        <v>2719</v>
      </c>
      <c r="M295" s="2" t="s">
        <v>2720</v>
      </c>
      <c r="O295" s="2" t="s">
        <v>2721</v>
      </c>
      <c r="P295" s="2" t="s">
        <v>37</v>
      </c>
      <c r="Q295" s="2" t="s">
        <v>2722</v>
      </c>
      <c r="R295" s="3" t="s">
        <v>2723</v>
      </c>
      <c r="T295" s="2" t="s">
        <v>40</v>
      </c>
      <c r="X295" s="2" t="n">
        <v>435</v>
      </c>
      <c r="Y295" s="2" t="s">
        <v>2724</v>
      </c>
      <c r="Z295" s="3" t="s">
        <v>2725</v>
      </c>
      <c r="AA295" s="4" t="s">
        <v>2726</v>
      </c>
    </row>
    <row r="296" customFormat="false" ht="46.25" hidden="false" customHeight="false" outlineLevel="0" collapsed="false">
      <c r="A296" s="0" t="str">
        <f aca="false">CONCATENATE("__import__.res_partner_",C296)</f>
        <v>__import__.res_partner_20000000438</v>
      </c>
      <c r="B296" s="2" t="s">
        <v>2727</v>
      </c>
      <c r="C296" s="3" t="s">
        <v>2728</v>
      </c>
      <c r="D296" s="2" t="s">
        <v>2729</v>
      </c>
      <c r="F296" s="2" t="s">
        <v>30</v>
      </c>
      <c r="G296" s="2" t="s">
        <v>31</v>
      </c>
      <c r="H296" s="2" t="s">
        <v>32</v>
      </c>
      <c r="K296" s="2" t="s">
        <v>2730</v>
      </c>
      <c r="L296" s="3" t="s">
        <v>2731</v>
      </c>
      <c r="M296" s="2" t="s">
        <v>2732</v>
      </c>
      <c r="O296" s="2" t="s">
        <v>2733</v>
      </c>
      <c r="P296" s="2" t="s">
        <v>37</v>
      </c>
      <c r="Q296" s="2" t="s">
        <v>2734</v>
      </c>
      <c r="R296" s="3" t="s">
        <v>2735</v>
      </c>
      <c r="T296" s="2" t="s">
        <v>40</v>
      </c>
      <c r="X296" s="2" t="n">
        <v>438</v>
      </c>
      <c r="Y296" s="2" t="s">
        <v>2736</v>
      </c>
      <c r="Z296" s="3" t="s">
        <v>2737</v>
      </c>
      <c r="AA296" s="4" t="s">
        <v>2738</v>
      </c>
    </row>
    <row r="297" customFormat="false" ht="13.8" hidden="false" customHeight="false" outlineLevel="0" collapsed="false">
      <c r="A297" s="0" t="str">
        <f aca="false">CONCATENATE("__import__.res_partner_",C297)</f>
        <v>__import__.res_partner_20000000444</v>
      </c>
      <c r="B297" s="2" t="s">
        <v>2739</v>
      </c>
      <c r="C297" s="3" t="s">
        <v>2740</v>
      </c>
      <c r="D297" s="2" t="s">
        <v>2741</v>
      </c>
      <c r="F297" s="2" t="s">
        <v>30</v>
      </c>
      <c r="G297" s="2" t="s">
        <v>31</v>
      </c>
      <c r="H297" s="2" t="s">
        <v>32</v>
      </c>
      <c r="K297" s="2" t="s">
        <v>2742</v>
      </c>
      <c r="L297" s="3" t="s">
        <v>2743</v>
      </c>
      <c r="M297" s="2" t="s">
        <v>2744</v>
      </c>
      <c r="O297" s="2" t="s">
        <v>2745</v>
      </c>
      <c r="P297" s="2" t="s">
        <v>37</v>
      </c>
      <c r="Q297" s="2" t="s">
        <v>2746</v>
      </c>
      <c r="T297" s="2" t="s">
        <v>40</v>
      </c>
      <c r="X297" s="2" t="n">
        <v>444</v>
      </c>
      <c r="Y297" s="2" t="s">
        <v>2741</v>
      </c>
      <c r="Z297" s="3" t="s">
        <v>2747</v>
      </c>
    </row>
    <row r="298" customFormat="false" ht="13.8" hidden="false" customHeight="false" outlineLevel="0" collapsed="false">
      <c r="A298" s="0" t="str">
        <f aca="false">CONCATENATE("__import__.res_partner_",C298)</f>
        <v>__import__.res_partner_20000000464</v>
      </c>
      <c r="B298" s="2" t="s">
        <v>2748</v>
      </c>
      <c r="C298" s="3" t="s">
        <v>2749</v>
      </c>
      <c r="D298" s="2" t="s">
        <v>2750</v>
      </c>
      <c r="F298" s="3" t="s">
        <v>557</v>
      </c>
      <c r="G298" s="2" t="s">
        <v>31</v>
      </c>
      <c r="H298" s="2" t="s">
        <v>32</v>
      </c>
      <c r="K298" s="2" t="s">
        <v>2751</v>
      </c>
      <c r="L298" s="3" t="s">
        <v>2752</v>
      </c>
      <c r="M298" s="2" t="s">
        <v>2753</v>
      </c>
      <c r="O298" s="2" t="s">
        <v>2754</v>
      </c>
      <c r="P298" s="2" t="s">
        <v>37</v>
      </c>
      <c r="Q298" s="2" t="s">
        <v>2755</v>
      </c>
      <c r="R298" s="3" t="s">
        <v>2756</v>
      </c>
      <c r="T298" s="2" t="s">
        <v>697</v>
      </c>
      <c r="X298" s="2" t="n">
        <v>464</v>
      </c>
      <c r="Y298" s="2" t="s">
        <v>2757</v>
      </c>
      <c r="Z298" s="3" t="s">
        <v>2758</v>
      </c>
    </row>
    <row r="299" customFormat="false" ht="13.8" hidden="false" customHeight="false" outlineLevel="0" collapsed="false">
      <c r="A299" s="0" t="str">
        <f aca="false">CONCATENATE("__import__.res_partner_",C299)</f>
        <v>__import__.res_partner_20000010000</v>
      </c>
      <c r="B299" s="2" t="s">
        <v>2759</v>
      </c>
      <c r="C299" s="3" t="s">
        <v>2760</v>
      </c>
      <c r="D299" s="2" t="s">
        <v>2761</v>
      </c>
      <c r="F299" s="2" t="s">
        <v>30</v>
      </c>
      <c r="G299" s="2" t="s">
        <v>31</v>
      </c>
      <c r="H299" s="2" t="s">
        <v>32</v>
      </c>
      <c r="K299" s="2" t="s">
        <v>2762</v>
      </c>
      <c r="L299" s="3" t="s">
        <v>2763</v>
      </c>
      <c r="M299" s="2" t="s">
        <v>2764</v>
      </c>
      <c r="O299" s="2" t="s">
        <v>2765</v>
      </c>
      <c r="P299" s="2" t="s">
        <v>37</v>
      </c>
      <c r="T299" s="2" t="s">
        <v>108</v>
      </c>
      <c r="X299" s="2" t="n">
        <v>10000</v>
      </c>
      <c r="Y299" s="2" t="s">
        <v>2761</v>
      </c>
      <c r="Z299" s="3" t="s">
        <v>2766</v>
      </c>
    </row>
    <row r="300" customFormat="false" ht="28.5" hidden="false" customHeight="false" outlineLevel="0" collapsed="false">
      <c r="A300" s="0" t="str">
        <f aca="false">CONCATENATE("__import__.res_partner_",C300)</f>
        <v>__import__.res_partner_20000010001</v>
      </c>
      <c r="B300" s="2" t="s">
        <v>2767</v>
      </c>
      <c r="C300" s="3" t="s">
        <v>2768</v>
      </c>
      <c r="D300" s="2" t="s">
        <v>2769</v>
      </c>
      <c r="F300" s="2" t="s">
        <v>30</v>
      </c>
      <c r="G300" s="2" t="s">
        <v>31</v>
      </c>
      <c r="H300" s="2" t="s">
        <v>32</v>
      </c>
      <c r="K300" s="2" t="s">
        <v>2770</v>
      </c>
      <c r="L300" s="3" t="s">
        <v>2771</v>
      </c>
      <c r="M300" s="2" t="s">
        <v>2772</v>
      </c>
      <c r="O300" s="2" t="s">
        <v>2754</v>
      </c>
      <c r="P300" s="2" t="s">
        <v>37</v>
      </c>
      <c r="Q300" s="2" t="s">
        <v>338</v>
      </c>
      <c r="R300" s="2" t="s">
        <v>2773</v>
      </c>
      <c r="T300" s="2" t="s">
        <v>40</v>
      </c>
      <c r="X300" s="2" t="n">
        <v>10001</v>
      </c>
      <c r="Y300" s="2" t="s">
        <v>2774</v>
      </c>
      <c r="Z300" s="3" t="s">
        <v>2775</v>
      </c>
      <c r="AA300" s="4" t="s">
        <v>2776</v>
      </c>
    </row>
    <row r="301" customFormat="false" ht="13.8" hidden="false" customHeight="false" outlineLevel="0" collapsed="false">
      <c r="A301" s="0" t="str">
        <f aca="false">CONCATENATE("__import__.res_partner_",C301)</f>
        <v>__import__.res_partner_20000010002</v>
      </c>
      <c r="B301" s="2" t="s">
        <v>2777</v>
      </c>
      <c r="C301" s="3" t="s">
        <v>2778</v>
      </c>
      <c r="D301" s="2" t="s">
        <v>2779</v>
      </c>
      <c r="F301" s="2" t="s">
        <v>30</v>
      </c>
      <c r="G301" s="2" t="s">
        <v>31</v>
      </c>
      <c r="H301" s="2" t="s">
        <v>32</v>
      </c>
      <c r="K301" s="2" t="s">
        <v>2780</v>
      </c>
      <c r="L301" s="3" t="s">
        <v>2781</v>
      </c>
      <c r="M301" s="2" t="s">
        <v>2782</v>
      </c>
      <c r="O301" s="2" t="s">
        <v>2783</v>
      </c>
      <c r="P301" s="2" t="s">
        <v>37</v>
      </c>
      <c r="Q301" s="2" t="s">
        <v>2784</v>
      </c>
      <c r="R301" s="2" t="s">
        <v>2785</v>
      </c>
      <c r="T301" s="2" t="s">
        <v>40</v>
      </c>
      <c r="X301" s="2" t="n">
        <v>10002</v>
      </c>
      <c r="Y301" s="2" t="s">
        <v>2779</v>
      </c>
      <c r="Z301" s="3" t="s">
        <v>2786</v>
      </c>
    </row>
    <row r="302" customFormat="false" ht="13.8" hidden="false" customHeight="false" outlineLevel="0" collapsed="false">
      <c r="A302" s="0" t="str">
        <f aca="false">CONCATENATE("__import__.res_partner_",C302)</f>
        <v>__import__.res_partner_20000010003</v>
      </c>
      <c r="B302" s="2" t="s">
        <v>2787</v>
      </c>
      <c r="C302" s="3" t="s">
        <v>2788</v>
      </c>
      <c r="D302" s="2" t="s">
        <v>2789</v>
      </c>
      <c r="F302" s="2" t="s">
        <v>30</v>
      </c>
      <c r="G302" s="2" t="s">
        <v>31</v>
      </c>
      <c r="H302" s="2" t="s">
        <v>32</v>
      </c>
      <c r="K302" s="2" t="s">
        <v>2790</v>
      </c>
      <c r="L302" s="3" t="s">
        <v>1488</v>
      </c>
      <c r="M302" s="2" t="s">
        <v>2791</v>
      </c>
      <c r="O302" s="2" t="s">
        <v>2792</v>
      </c>
      <c r="P302" s="2" t="s">
        <v>37</v>
      </c>
      <c r="R302" s="2" t="s">
        <v>2793</v>
      </c>
      <c r="T302" s="2" t="s">
        <v>76</v>
      </c>
      <c r="X302" s="2" t="n">
        <v>10003</v>
      </c>
      <c r="Y302" s="2" t="s">
        <v>2789</v>
      </c>
      <c r="Z302" s="3" t="s">
        <v>2794</v>
      </c>
    </row>
    <row r="303" customFormat="false" ht="13.8" hidden="false" customHeight="false" outlineLevel="0" collapsed="false">
      <c r="A303" s="0" t="str">
        <f aca="false">CONCATENATE("__import__.res_partner_",C303)</f>
        <v>__import__.res_partner_20000010004</v>
      </c>
      <c r="B303" s="2" t="s">
        <v>2795</v>
      </c>
      <c r="C303" s="3" t="s">
        <v>2796</v>
      </c>
      <c r="D303" s="2" t="s">
        <v>2797</v>
      </c>
      <c r="F303" s="3" t="s">
        <v>557</v>
      </c>
      <c r="G303" s="2" t="s">
        <v>31</v>
      </c>
      <c r="H303" s="2" t="s">
        <v>32</v>
      </c>
      <c r="K303" s="2" t="s">
        <v>2798</v>
      </c>
      <c r="L303" s="3" t="s">
        <v>2799</v>
      </c>
      <c r="M303" s="2" t="s">
        <v>2800</v>
      </c>
      <c r="O303" s="2" t="s">
        <v>2801</v>
      </c>
      <c r="P303" s="2" t="s">
        <v>37</v>
      </c>
      <c r="R303" s="2" t="s">
        <v>2802</v>
      </c>
      <c r="T303" s="2" t="s">
        <v>76</v>
      </c>
      <c r="X303" s="2" t="n">
        <v>10004</v>
      </c>
      <c r="Y303" s="2" t="s">
        <v>2803</v>
      </c>
      <c r="Z303" s="3" t="s">
        <v>2804</v>
      </c>
    </row>
    <row r="304" customFormat="false" ht="13.8" hidden="false" customHeight="false" outlineLevel="0" collapsed="false">
      <c r="A304" s="0" t="str">
        <f aca="false">CONCATENATE("__import__.res_partner_",C304)</f>
        <v>__import__.res_partner_20000010005</v>
      </c>
      <c r="B304" s="2" t="s">
        <v>2805</v>
      </c>
      <c r="C304" s="3" t="s">
        <v>2806</v>
      </c>
      <c r="D304" s="2" t="s">
        <v>2807</v>
      </c>
      <c r="F304" s="2" t="s">
        <v>30</v>
      </c>
      <c r="G304" s="2" t="s">
        <v>31</v>
      </c>
      <c r="H304" s="2" t="s">
        <v>32</v>
      </c>
      <c r="K304" s="2" t="s">
        <v>2808</v>
      </c>
      <c r="L304" s="3" t="s">
        <v>2809</v>
      </c>
      <c r="M304" s="2" t="s">
        <v>2810</v>
      </c>
      <c r="O304" s="2" t="s">
        <v>2811</v>
      </c>
      <c r="P304" s="2" t="s">
        <v>37</v>
      </c>
      <c r="R304" s="2" t="s">
        <v>2812</v>
      </c>
      <c r="T304" s="2" t="s">
        <v>76</v>
      </c>
      <c r="X304" s="2" t="n">
        <v>10005</v>
      </c>
      <c r="Y304" s="2" t="s">
        <v>2807</v>
      </c>
      <c r="Z304" s="3" t="s">
        <v>2813</v>
      </c>
    </row>
    <row r="305" customFormat="false" ht="13.8" hidden="false" customHeight="false" outlineLevel="0" collapsed="false">
      <c r="A305" s="0" t="str">
        <f aca="false">CONCATENATE("__import__.res_partner_",C305)</f>
        <v>__import__.res_partner_20000010006</v>
      </c>
      <c r="B305" s="2" t="s">
        <v>2814</v>
      </c>
      <c r="C305" s="3" t="s">
        <v>2815</v>
      </c>
      <c r="D305" s="2" t="s">
        <v>2816</v>
      </c>
      <c r="F305" s="2" t="s">
        <v>30</v>
      </c>
      <c r="G305" s="2" t="s">
        <v>31</v>
      </c>
      <c r="H305" s="2" t="s">
        <v>32</v>
      </c>
      <c r="K305" s="2" t="s">
        <v>2817</v>
      </c>
      <c r="L305" s="3" t="s">
        <v>2818</v>
      </c>
      <c r="M305" s="2" t="s">
        <v>2819</v>
      </c>
      <c r="O305" s="2" t="s">
        <v>2820</v>
      </c>
      <c r="P305" s="2" t="s">
        <v>37</v>
      </c>
      <c r="Q305" s="2" t="s">
        <v>338</v>
      </c>
      <c r="R305" s="2" t="s">
        <v>2821</v>
      </c>
      <c r="T305" s="2" t="s">
        <v>97</v>
      </c>
      <c r="X305" s="2" t="n">
        <v>10006</v>
      </c>
      <c r="Y305" s="2" t="s">
        <v>2822</v>
      </c>
      <c r="Z305" s="3" t="s">
        <v>2823</v>
      </c>
    </row>
    <row r="306" customFormat="false" ht="13.8" hidden="false" customHeight="false" outlineLevel="0" collapsed="false">
      <c r="A306" s="0" t="str">
        <f aca="false">CONCATENATE("__import__.res_partner_",C306)</f>
        <v>__import__.res_partner_20000010007</v>
      </c>
      <c r="B306" s="2" t="s">
        <v>2824</v>
      </c>
      <c r="C306" s="3" t="s">
        <v>2825</v>
      </c>
      <c r="D306" s="2" t="s">
        <v>2826</v>
      </c>
      <c r="F306" s="2" t="s">
        <v>30</v>
      </c>
      <c r="G306" s="2" t="s">
        <v>31</v>
      </c>
      <c r="H306" s="2" t="s">
        <v>32</v>
      </c>
      <c r="K306" s="2" t="s">
        <v>2827</v>
      </c>
      <c r="L306" s="3" t="s">
        <v>2828</v>
      </c>
      <c r="M306" s="2" t="s">
        <v>2829</v>
      </c>
      <c r="O306" s="2" t="s">
        <v>584</v>
      </c>
      <c r="P306" s="2" t="s">
        <v>37</v>
      </c>
      <c r="Q306" s="2" t="s">
        <v>1303</v>
      </c>
      <c r="R306" s="2" t="s">
        <v>2830</v>
      </c>
      <c r="T306" s="2" t="s">
        <v>40</v>
      </c>
      <c r="X306" s="2" t="n">
        <v>10007</v>
      </c>
      <c r="Y306" s="2" t="s">
        <v>2826</v>
      </c>
      <c r="Z306" s="3" t="s">
        <v>2831</v>
      </c>
    </row>
    <row r="307" customFormat="false" ht="13.8" hidden="false" customHeight="false" outlineLevel="0" collapsed="false">
      <c r="A307" s="0" t="str">
        <f aca="false">CONCATENATE("__import__.res_partner_",C307)</f>
        <v>__import__.res_partner_20000010008</v>
      </c>
      <c r="B307" s="2" t="s">
        <v>2832</v>
      </c>
      <c r="C307" s="3" t="s">
        <v>2833</v>
      </c>
      <c r="D307" s="2" t="s">
        <v>2834</v>
      </c>
      <c r="F307" s="2" t="s">
        <v>30</v>
      </c>
      <c r="G307" s="2" t="s">
        <v>31</v>
      </c>
      <c r="H307" s="2" t="s">
        <v>32</v>
      </c>
      <c r="K307" s="2" t="s">
        <v>2835</v>
      </c>
      <c r="L307" s="3" t="s">
        <v>2836</v>
      </c>
      <c r="M307" s="2" t="s">
        <v>2837</v>
      </c>
      <c r="O307" s="2" t="s">
        <v>2838</v>
      </c>
      <c r="P307" s="2" t="s">
        <v>37</v>
      </c>
      <c r="Q307" s="2" t="s">
        <v>2839</v>
      </c>
      <c r="R307" s="2" t="s">
        <v>2840</v>
      </c>
      <c r="T307" s="2" t="s">
        <v>97</v>
      </c>
      <c r="X307" s="2" t="n">
        <v>10008</v>
      </c>
      <c r="Y307" s="2" t="s">
        <v>2841</v>
      </c>
      <c r="Z307" s="3" t="s">
        <v>2842</v>
      </c>
      <c r="AA307" s="2" t="s">
        <v>2843</v>
      </c>
    </row>
    <row r="308" customFormat="false" ht="13.8" hidden="false" customHeight="false" outlineLevel="0" collapsed="false">
      <c r="A308" s="0" t="str">
        <f aca="false">CONCATENATE("__import__.res_partner_",C308)</f>
        <v>__import__.res_partner_20000010010</v>
      </c>
      <c r="B308" s="2" t="s">
        <v>2844</v>
      </c>
      <c r="C308" s="3" t="s">
        <v>2845</v>
      </c>
      <c r="D308" s="2" t="s">
        <v>2846</v>
      </c>
      <c r="F308" s="2" t="s">
        <v>30</v>
      </c>
      <c r="G308" s="2" t="s">
        <v>31</v>
      </c>
      <c r="H308" s="2" t="s">
        <v>32</v>
      </c>
      <c r="K308" s="2" t="s">
        <v>2847</v>
      </c>
      <c r="L308" s="3" t="s">
        <v>2848</v>
      </c>
      <c r="M308" s="2" t="s">
        <v>2849</v>
      </c>
      <c r="O308" s="2" t="s">
        <v>2850</v>
      </c>
      <c r="P308" s="2" t="s">
        <v>37</v>
      </c>
      <c r="Q308" s="2" t="s">
        <v>2851</v>
      </c>
      <c r="R308" s="2" t="s">
        <v>2852</v>
      </c>
      <c r="T308" s="2" t="s">
        <v>76</v>
      </c>
      <c r="X308" s="2" t="n">
        <v>10010</v>
      </c>
      <c r="Y308" s="2" t="s">
        <v>2853</v>
      </c>
      <c r="Z308" s="3" t="s">
        <v>2854</v>
      </c>
    </row>
    <row r="309" customFormat="false" ht="13.8" hidden="false" customHeight="false" outlineLevel="0" collapsed="false">
      <c r="A309" s="0" t="str">
        <f aca="false">CONCATENATE("__import__.res_partner_",C309)</f>
        <v>__import__.res_partner_20000010011</v>
      </c>
      <c r="B309" s="2" t="s">
        <v>2855</v>
      </c>
      <c r="C309" s="3" t="s">
        <v>2856</v>
      </c>
      <c r="D309" s="2" t="s">
        <v>2857</v>
      </c>
      <c r="F309" s="2" t="s">
        <v>30</v>
      </c>
      <c r="G309" s="2" t="s">
        <v>31</v>
      </c>
      <c r="H309" s="2" t="s">
        <v>32</v>
      </c>
      <c r="K309" s="2" t="s">
        <v>2858</v>
      </c>
      <c r="M309" s="2" t="s">
        <v>2859</v>
      </c>
      <c r="O309" s="2" t="s">
        <v>2860</v>
      </c>
      <c r="P309" s="2" t="s">
        <v>37</v>
      </c>
      <c r="R309" s="2" t="s">
        <v>2861</v>
      </c>
      <c r="T309" s="2" t="s">
        <v>76</v>
      </c>
      <c r="X309" s="2" t="n">
        <v>10011</v>
      </c>
      <c r="Y309" s="2" t="s">
        <v>2862</v>
      </c>
      <c r="Z309" s="3" t="s">
        <v>2863</v>
      </c>
    </row>
    <row r="310" customFormat="false" ht="13.8" hidden="false" customHeight="false" outlineLevel="0" collapsed="false">
      <c r="A310" s="0" t="str">
        <f aca="false">CONCATENATE("__import__.res_partner_",C310)</f>
        <v>__import__.res_partner_20000010012</v>
      </c>
      <c r="B310" s="2" t="s">
        <v>2864</v>
      </c>
      <c r="C310" s="3" t="s">
        <v>2865</v>
      </c>
      <c r="D310" s="2" t="s">
        <v>2866</v>
      </c>
      <c r="F310" s="2" t="s">
        <v>30</v>
      </c>
      <c r="G310" s="2" t="s">
        <v>31</v>
      </c>
      <c r="H310" s="2" t="s">
        <v>32</v>
      </c>
      <c r="K310" s="2" t="s">
        <v>2867</v>
      </c>
      <c r="L310" s="3" t="s">
        <v>2868</v>
      </c>
      <c r="M310" s="2" t="s">
        <v>2869</v>
      </c>
      <c r="O310" s="2" t="s">
        <v>2754</v>
      </c>
      <c r="P310" s="2" t="s">
        <v>37</v>
      </c>
      <c r="Q310" s="2" t="s">
        <v>2870</v>
      </c>
      <c r="R310" s="2" t="s">
        <v>2871</v>
      </c>
      <c r="T310" s="2" t="s">
        <v>76</v>
      </c>
      <c r="W310" s="2" t="s">
        <v>2872</v>
      </c>
      <c r="X310" s="2" t="n">
        <v>10012</v>
      </c>
      <c r="Y310" s="2" t="s">
        <v>2873</v>
      </c>
      <c r="Z310" s="3" t="s">
        <v>2874</v>
      </c>
    </row>
    <row r="311" customFormat="false" ht="13.8" hidden="false" customHeight="false" outlineLevel="0" collapsed="false">
      <c r="A311" s="0" t="str">
        <f aca="false">CONCATENATE("__import__.res_partner_",C311)</f>
        <v>__import__.res_partner_20000010013</v>
      </c>
      <c r="B311" s="2" t="s">
        <v>2875</v>
      </c>
      <c r="C311" s="3" t="s">
        <v>2876</v>
      </c>
      <c r="D311" s="2" t="s">
        <v>2877</v>
      </c>
      <c r="F311" s="3" t="s">
        <v>557</v>
      </c>
      <c r="G311" s="2" t="s">
        <v>31</v>
      </c>
      <c r="H311" s="2" t="s">
        <v>32</v>
      </c>
      <c r="K311" s="2" t="s">
        <v>2878</v>
      </c>
      <c r="L311" s="3" t="s">
        <v>2879</v>
      </c>
      <c r="M311" s="2" t="s">
        <v>2880</v>
      </c>
      <c r="O311" s="2" t="s">
        <v>2881</v>
      </c>
      <c r="P311" s="2" t="s">
        <v>37</v>
      </c>
      <c r="Q311" s="2" t="s">
        <v>2882</v>
      </c>
      <c r="R311" s="2" t="s">
        <v>2883</v>
      </c>
      <c r="T311" s="2" t="s">
        <v>76</v>
      </c>
      <c r="X311" s="2" t="n">
        <v>10013</v>
      </c>
      <c r="Y311" s="2" t="s">
        <v>2884</v>
      </c>
      <c r="Z311" s="3" t="s">
        <v>2885</v>
      </c>
    </row>
    <row r="312" customFormat="false" ht="13.8" hidden="false" customHeight="false" outlineLevel="0" collapsed="false">
      <c r="A312" s="0" t="str">
        <f aca="false">CONCATENATE("__import__.res_partner_",C312)</f>
        <v>__import__.res_partner_20000010014</v>
      </c>
      <c r="B312" s="2" t="s">
        <v>2886</v>
      </c>
      <c r="C312" s="3" t="s">
        <v>2887</v>
      </c>
      <c r="D312" s="2" t="s">
        <v>2888</v>
      </c>
      <c r="F312" s="2" t="s">
        <v>30</v>
      </c>
      <c r="G312" s="2" t="s">
        <v>31</v>
      </c>
      <c r="H312" s="2" t="s">
        <v>32</v>
      </c>
      <c r="K312" s="2" t="s">
        <v>2889</v>
      </c>
      <c r="L312" s="3" t="s">
        <v>2890</v>
      </c>
      <c r="M312" s="2" t="s">
        <v>2891</v>
      </c>
      <c r="O312" s="2" t="s">
        <v>2754</v>
      </c>
      <c r="P312" s="2" t="s">
        <v>37</v>
      </c>
      <c r="Q312" s="2" t="s">
        <v>2892</v>
      </c>
      <c r="R312" s="2" t="s">
        <v>2893</v>
      </c>
      <c r="T312" s="2" t="s">
        <v>40</v>
      </c>
      <c r="X312" s="2" t="n">
        <v>10014</v>
      </c>
      <c r="Y312" s="2" t="s">
        <v>2894</v>
      </c>
      <c r="Z312" s="3" t="s">
        <v>2895</v>
      </c>
    </row>
    <row r="313" customFormat="false" ht="28.5" hidden="false" customHeight="false" outlineLevel="0" collapsed="false">
      <c r="A313" s="0" t="str">
        <f aca="false">CONCATENATE("__import__.res_partner_",C313)</f>
        <v>__import__.res_partner_20000010015</v>
      </c>
      <c r="B313" s="2" t="s">
        <v>2896</v>
      </c>
      <c r="C313" s="3" t="s">
        <v>2897</v>
      </c>
      <c r="D313" s="2" t="s">
        <v>2898</v>
      </c>
      <c r="F313" s="2" t="s">
        <v>30</v>
      </c>
      <c r="G313" s="2" t="s">
        <v>31</v>
      </c>
      <c r="H313" s="2" t="s">
        <v>32</v>
      </c>
      <c r="K313" s="2" t="s">
        <v>2899</v>
      </c>
      <c r="L313" s="3" t="s">
        <v>2900</v>
      </c>
      <c r="M313" s="2" t="s">
        <v>2901</v>
      </c>
      <c r="O313" s="2" t="s">
        <v>2902</v>
      </c>
      <c r="P313" s="2" t="s">
        <v>37</v>
      </c>
      <c r="Q313" s="2" t="s">
        <v>2903</v>
      </c>
      <c r="R313" s="3" t="s">
        <v>2904</v>
      </c>
      <c r="T313" s="2" t="s">
        <v>108</v>
      </c>
      <c r="X313" s="2" t="n">
        <v>10015</v>
      </c>
      <c r="Y313" s="2" t="s">
        <v>2898</v>
      </c>
      <c r="Z313" s="3" t="s">
        <v>2905</v>
      </c>
      <c r="AA313" s="4" t="s">
        <v>2906</v>
      </c>
    </row>
    <row r="314" customFormat="false" ht="13.8" hidden="false" customHeight="false" outlineLevel="0" collapsed="false">
      <c r="A314" s="0" t="str">
        <f aca="false">CONCATENATE("__import__.res_partner_",C314)</f>
        <v>__import__.res_partner_20000010017</v>
      </c>
      <c r="B314" s="2" t="s">
        <v>2907</v>
      </c>
      <c r="C314" s="3" t="s">
        <v>2908</v>
      </c>
      <c r="D314" s="2" t="s">
        <v>2909</v>
      </c>
      <c r="F314" s="2" t="s">
        <v>30</v>
      </c>
      <c r="G314" s="2" t="s">
        <v>31</v>
      </c>
      <c r="H314" s="2" t="s">
        <v>32</v>
      </c>
      <c r="K314" s="2" t="s">
        <v>2910</v>
      </c>
      <c r="L314" s="3" t="s">
        <v>423</v>
      </c>
      <c r="M314" s="2" t="s">
        <v>2911</v>
      </c>
      <c r="O314" s="2" t="s">
        <v>36</v>
      </c>
      <c r="P314" s="2" t="s">
        <v>37</v>
      </c>
      <c r="Q314" s="2" t="s">
        <v>2912</v>
      </c>
      <c r="R314" s="2" t="s">
        <v>2913</v>
      </c>
      <c r="T314" s="2" t="s">
        <v>40</v>
      </c>
      <c r="X314" s="2" t="n">
        <v>10017</v>
      </c>
      <c r="Y314" s="2" t="s">
        <v>2914</v>
      </c>
      <c r="Z314" s="3" t="s">
        <v>2915</v>
      </c>
    </row>
    <row r="315" customFormat="false" ht="13.8" hidden="false" customHeight="false" outlineLevel="0" collapsed="false">
      <c r="A315" s="0" t="str">
        <f aca="false">CONCATENATE("__import__.res_partner_",C315)</f>
        <v>__import__.res_partner_20000010018</v>
      </c>
      <c r="B315" s="2" t="s">
        <v>2916</v>
      </c>
      <c r="C315" s="3" t="s">
        <v>2917</v>
      </c>
      <c r="D315" s="2" t="s">
        <v>2918</v>
      </c>
      <c r="F315" s="2" t="s">
        <v>30</v>
      </c>
      <c r="G315" s="2" t="s">
        <v>31</v>
      </c>
      <c r="H315" s="2" t="s">
        <v>32</v>
      </c>
      <c r="K315" s="2" t="s">
        <v>2919</v>
      </c>
      <c r="L315" s="3" t="s">
        <v>2920</v>
      </c>
      <c r="M315" s="2" t="s">
        <v>2921</v>
      </c>
      <c r="O315" s="2" t="s">
        <v>2922</v>
      </c>
      <c r="P315" s="2" t="s">
        <v>37</v>
      </c>
      <c r="Q315" s="2" t="s">
        <v>2923</v>
      </c>
      <c r="R315" s="2" t="s">
        <v>2924</v>
      </c>
      <c r="T315" s="2" t="s">
        <v>108</v>
      </c>
      <c r="X315" s="2" t="n">
        <v>10018</v>
      </c>
      <c r="Y315" s="2" t="s">
        <v>2918</v>
      </c>
      <c r="Z315" s="3" t="s">
        <v>2925</v>
      </c>
    </row>
    <row r="316" customFormat="false" ht="13.8" hidden="false" customHeight="false" outlineLevel="0" collapsed="false">
      <c r="A316" s="0" t="str">
        <f aca="false">CONCATENATE("__import__.res_partner_",C316)</f>
        <v>__import__.res_partner_20000010020</v>
      </c>
      <c r="B316" s="2" t="s">
        <v>2926</v>
      </c>
      <c r="C316" s="3" t="s">
        <v>2927</v>
      </c>
      <c r="D316" s="2" t="s">
        <v>2928</v>
      </c>
      <c r="F316" s="2" t="s">
        <v>30</v>
      </c>
      <c r="G316" s="2" t="s">
        <v>31</v>
      </c>
      <c r="H316" s="2" t="s">
        <v>32</v>
      </c>
      <c r="K316" s="2" t="s">
        <v>2929</v>
      </c>
      <c r="L316" s="3" t="s">
        <v>2602</v>
      </c>
      <c r="M316" s="2" t="s">
        <v>2930</v>
      </c>
      <c r="O316" s="2" t="s">
        <v>2931</v>
      </c>
      <c r="P316" s="2" t="s">
        <v>37</v>
      </c>
      <c r="Q316" s="2" t="s">
        <v>2932</v>
      </c>
      <c r="R316" s="2" t="s">
        <v>2933</v>
      </c>
      <c r="T316" s="2" t="s">
        <v>108</v>
      </c>
      <c r="X316" s="2" t="n">
        <v>10020</v>
      </c>
      <c r="Y316" s="2" t="s">
        <v>2934</v>
      </c>
      <c r="Z316" s="3" t="s">
        <v>2935</v>
      </c>
    </row>
    <row r="317" customFormat="false" ht="13.8" hidden="false" customHeight="false" outlineLevel="0" collapsed="false">
      <c r="A317" s="0" t="str">
        <f aca="false">CONCATENATE("__import__.res_partner_",C317)</f>
        <v>__import__.res_partner_20000010021</v>
      </c>
      <c r="B317" s="2" t="s">
        <v>2936</v>
      </c>
      <c r="C317" s="3" t="s">
        <v>2937</v>
      </c>
      <c r="D317" s="2" t="s">
        <v>2938</v>
      </c>
      <c r="F317" s="2" t="s">
        <v>30</v>
      </c>
      <c r="G317" s="2" t="s">
        <v>31</v>
      </c>
      <c r="H317" s="2" t="s">
        <v>32</v>
      </c>
      <c r="K317" s="2" t="s">
        <v>2939</v>
      </c>
      <c r="L317" s="3" t="s">
        <v>2940</v>
      </c>
      <c r="M317" s="2" t="s">
        <v>2941</v>
      </c>
      <c r="O317" s="2" t="s">
        <v>2709</v>
      </c>
      <c r="P317" s="2" t="s">
        <v>37</v>
      </c>
      <c r="Q317" s="2" t="s">
        <v>2942</v>
      </c>
      <c r="R317" s="2" t="s">
        <v>2943</v>
      </c>
      <c r="T317" s="2" t="s">
        <v>76</v>
      </c>
      <c r="X317" s="2" t="n">
        <v>10021</v>
      </c>
      <c r="Y317" s="2" t="s">
        <v>2938</v>
      </c>
      <c r="Z317" s="3" t="s">
        <v>2944</v>
      </c>
    </row>
    <row r="318" customFormat="false" ht="13.8" hidden="false" customHeight="false" outlineLevel="0" collapsed="false">
      <c r="A318" s="0" t="str">
        <f aca="false">CONCATENATE("__import__.res_partner_",C318)</f>
        <v>__import__.res_partner_20000010022</v>
      </c>
      <c r="B318" s="2" t="s">
        <v>2945</v>
      </c>
      <c r="C318" s="3" t="s">
        <v>2946</v>
      </c>
      <c r="D318" s="2" t="s">
        <v>2947</v>
      </c>
      <c r="F318" s="2" t="s">
        <v>30</v>
      </c>
      <c r="G318" s="2" t="s">
        <v>31</v>
      </c>
      <c r="H318" s="2" t="s">
        <v>32</v>
      </c>
      <c r="K318" s="2" t="s">
        <v>2948</v>
      </c>
      <c r="L318" s="3" t="s">
        <v>2949</v>
      </c>
      <c r="M318" s="2" t="s">
        <v>2950</v>
      </c>
      <c r="O318" s="2" t="s">
        <v>1151</v>
      </c>
      <c r="P318" s="2" t="s">
        <v>37</v>
      </c>
      <c r="R318" s="2" t="s">
        <v>2951</v>
      </c>
      <c r="T318" s="2" t="s">
        <v>108</v>
      </c>
      <c r="X318" s="2" t="n">
        <v>10022</v>
      </c>
      <c r="Y318" s="2" t="s">
        <v>2947</v>
      </c>
      <c r="Z318" s="3" t="s">
        <v>2952</v>
      </c>
    </row>
    <row r="319" customFormat="false" ht="13.8" hidden="false" customHeight="false" outlineLevel="0" collapsed="false">
      <c r="A319" s="0" t="str">
        <f aca="false">CONCATENATE("__import__.res_partner_",C319)</f>
        <v>__import__.res_partner_20000010025</v>
      </c>
      <c r="B319" s="2" t="s">
        <v>2953</v>
      </c>
      <c r="C319" s="3" t="s">
        <v>2954</v>
      </c>
      <c r="D319" s="2" t="s">
        <v>2955</v>
      </c>
      <c r="F319" s="2" t="s">
        <v>30</v>
      </c>
      <c r="G319" s="2" t="s">
        <v>31</v>
      </c>
      <c r="H319" s="2" t="s">
        <v>32</v>
      </c>
      <c r="K319" s="2" t="s">
        <v>2956</v>
      </c>
      <c r="L319" s="3" t="s">
        <v>1434</v>
      </c>
      <c r="M319" s="2" t="s">
        <v>2957</v>
      </c>
      <c r="O319" s="2" t="s">
        <v>36</v>
      </c>
      <c r="P319" s="2" t="s">
        <v>37</v>
      </c>
      <c r="Q319" s="2" t="s">
        <v>2958</v>
      </c>
      <c r="R319" s="3" t="s">
        <v>2959</v>
      </c>
      <c r="T319" s="2" t="s">
        <v>64</v>
      </c>
      <c r="X319" s="2" t="n">
        <v>10025</v>
      </c>
      <c r="Y319" s="2" t="s">
        <v>2955</v>
      </c>
      <c r="Z319" s="3" t="s">
        <v>2960</v>
      </c>
      <c r="AA319" s="2" t="s">
        <v>2961</v>
      </c>
    </row>
    <row r="320" customFormat="false" ht="13.8" hidden="false" customHeight="false" outlineLevel="0" collapsed="false">
      <c r="A320" s="0" t="str">
        <f aca="false">CONCATENATE("__import__.res_partner_",C320)</f>
        <v>__import__.res_partner_20000010027</v>
      </c>
      <c r="B320" s="2" t="s">
        <v>2962</v>
      </c>
      <c r="C320" s="3" t="s">
        <v>2963</v>
      </c>
      <c r="D320" s="2" t="s">
        <v>2964</v>
      </c>
      <c r="F320" s="2" t="s">
        <v>30</v>
      </c>
      <c r="G320" s="2" t="s">
        <v>31</v>
      </c>
      <c r="H320" s="2" t="s">
        <v>32</v>
      </c>
      <c r="K320" s="2" t="s">
        <v>2965</v>
      </c>
      <c r="L320" s="3" t="s">
        <v>2966</v>
      </c>
      <c r="M320" s="2" t="s">
        <v>2967</v>
      </c>
      <c r="O320" s="2" t="s">
        <v>2968</v>
      </c>
      <c r="P320" s="2" t="s">
        <v>37</v>
      </c>
      <c r="Q320" s="2" t="s">
        <v>2969</v>
      </c>
      <c r="R320" s="2" t="s">
        <v>2970</v>
      </c>
      <c r="T320" s="2" t="s">
        <v>40</v>
      </c>
      <c r="X320" s="2" t="n">
        <v>10027</v>
      </c>
      <c r="Y320" s="2" t="s">
        <v>2971</v>
      </c>
      <c r="Z320" s="3" t="s">
        <v>2972</v>
      </c>
    </row>
    <row r="321" customFormat="false" ht="13.8" hidden="false" customHeight="false" outlineLevel="0" collapsed="false">
      <c r="A321" s="0" t="str">
        <f aca="false">CONCATENATE("__import__.res_partner_",C321)</f>
        <v>__import__.res_partner_20000010028</v>
      </c>
      <c r="B321" s="2" t="s">
        <v>2973</v>
      </c>
      <c r="C321" s="3" t="s">
        <v>2974</v>
      </c>
      <c r="D321" s="2" t="s">
        <v>2975</v>
      </c>
      <c r="F321" s="2" t="s">
        <v>30</v>
      </c>
      <c r="G321" s="2" t="s">
        <v>31</v>
      </c>
      <c r="H321" s="2" t="s">
        <v>32</v>
      </c>
      <c r="K321" s="2" t="s">
        <v>2976</v>
      </c>
      <c r="L321" s="3" t="s">
        <v>2771</v>
      </c>
      <c r="M321" s="2" t="s">
        <v>2977</v>
      </c>
      <c r="O321" s="2" t="s">
        <v>2754</v>
      </c>
      <c r="P321" s="2" t="s">
        <v>37</v>
      </c>
      <c r="T321" s="2" t="s">
        <v>76</v>
      </c>
      <c r="X321" s="2" t="n">
        <v>10028</v>
      </c>
      <c r="Y321" s="2" t="s">
        <v>2975</v>
      </c>
      <c r="Z321" s="3" t="s">
        <v>2978</v>
      </c>
    </row>
    <row r="322" customFormat="false" ht="13.8" hidden="false" customHeight="false" outlineLevel="0" collapsed="false">
      <c r="A322" s="0" t="str">
        <f aca="false">CONCATENATE("__import__.res_partner_",C322)</f>
        <v>__import__.res_partner_20000010029</v>
      </c>
      <c r="B322" s="2" t="s">
        <v>2979</v>
      </c>
      <c r="C322" s="3" t="s">
        <v>2980</v>
      </c>
      <c r="D322" s="2" t="s">
        <v>2981</v>
      </c>
      <c r="F322" s="2" t="s">
        <v>30</v>
      </c>
      <c r="G322" s="2" t="s">
        <v>31</v>
      </c>
      <c r="H322" s="2" t="s">
        <v>32</v>
      </c>
      <c r="K322" s="2" t="s">
        <v>2982</v>
      </c>
      <c r="L322" s="3" t="s">
        <v>2879</v>
      </c>
      <c r="M322" s="2" t="s">
        <v>2983</v>
      </c>
      <c r="O322" s="2" t="s">
        <v>2881</v>
      </c>
      <c r="P322" s="2" t="s">
        <v>37</v>
      </c>
      <c r="Q322" s="2" t="s">
        <v>2984</v>
      </c>
      <c r="R322" s="3" t="s">
        <v>2985</v>
      </c>
      <c r="T322" s="2" t="s">
        <v>97</v>
      </c>
      <c r="X322" s="2" t="n">
        <v>10029</v>
      </c>
      <c r="Y322" s="2" t="s">
        <v>2986</v>
      </c>
      <c r="Z322" s="3" t="s">
        <v>2987</v>
      </c>
    </row>
    <row r="323" customFormat="false" ht="27.75" hidden="false" customHeight="false" outlineLevel="0" collapsed="false">
      <c r="A323" s="0" t="str">
        <f aca="false">CONCATENATE("__import__.res_partner_",C323)</f>
        <v>__import__.res_partner_20000010030</v>
      </c>
      <c r="B323" s="2" t="s">
        <v>2988</v>
      </c>
      <c r="C323" s="3" t="s">
        <v>2989</v>
      </c>
      <c r="D323" s="2" t="s">
        <v>2990</v>
      </c>
      <c r="F323" s="2" t="s">
        <v>30</v>
      </c>
      <c r="G323" s="2" t="s">
        <v>31</v>
      </c>
      <c r="H323" s="2" t="s">
        <v>32</v>
      </c>
      <c r="K323" s="2" t="s">
        <v>2991</v>
      </c>
      <c r="L323" s="3" t="s">
        <v>528</v>
      </c>
      <c r="M323" s="2" t="s">
        <v>2992</v>
      </c>
      <c r="O323" s="2" t="s">
        <v>2993</v>
      </c>
      <c r="P323" s="2" t="s">
        <v>37</v>
      </c>
      <c r="Q323" s="2" t="s">
        <v>2994</v>
      </c>
      <c r="R323" s="2" t="s">
        <v>2995</v>
      </c>
      <c r="T323" s="2" t="s">
        <v>64</v>
      </c>
      <c r="X323" s="2" t="n">
        <v>10030</v>
      </c>
      <c r="Y323" s="2" t="s">
        <v>2996</v>
      </c>
      <c r="Z323" s="3" t="s">
        <v>2997</v>
      </c>
      <c r="AA323" s="4" t="s">
        <v>2998</v>
      </c>
    </row>
    <row r="324" customFormat="false" ht="13.8" hidden="false" customHeight="false" outlineLevel="0" collapsed="false">
      <c r="A324" s="0" t="str">
        <f aca="false">CONCATENATE("__import__.res_partner_",C324)</f>
        <v>__import__.res_partner_20000010031</v>
      </c>
      <c r="B324" s="2" t="s">
        <v>2999</v>
      </c>
      <c r="C324" s="3" t="s">
        <v>3000</v>
      </c>
      <c r="D324" s="2" t="s">
        <v>3001</v>
      </c>
      <c r="F324" s="3" t="s">
        <v>557</v>
      </c>
      <c r="G324" s="2" t="s">
        <v>31</v>
      </c>
      <c r="H324" s="2" t="s">
        <v>32</v>
      </c>
      <c r="K324" s="2" t="s">
        <v>3002</v>
      </c>
      <c r="L324" s="3" t="s">
        <v>3003</v>
      </c>
      <c r="M324" s="2" t="s">
        <v>3004</v>
      </c>
      <c r="O324" s="2" t="s">
        <v>2754</v>
      </c>
      <c r="P324" s="2" t="s">
        <v>37</v>
      </c>
      <c r="R324" s="3" t="s">
        <v>3005</v>
      </c>
      <c r="T324" s="2" t="s">
        <v>64</v>
      </c>
      <c r="X324" s="2" t="n">
        <v>10031</v>
      </c>
      <c r="Y324" s="2" t="s">
        <v>3006</v>
      </c>
      <c r="Z324" s="3" t="s">
        <v>3007</v>
      </c>
    </row>
    <row r="325" customFormat="false" ht="13.8" hidden="false" customHeight="false" outlineLevel="0" collapsed="false">
      <c r="A325" s="0" t="str">
        <f aca="false">CONCATENATE("__import__.res_partner_",C325)</f>
        <v>__import__.res_partner_20000010032</v>
      </c>
      <c r="B325" s="2" t="s">
        <v>3008</v>
      </c>
      <c r="C325" s="3" t="s">
        <v>3009</v>
      </c>
      <c r="D325" s="2" t="s">
        <v>3010</v>
      </c>
      <c r="F325" s="2" t="s">
        <v>30</v>
      </c>
      <c r="G325" s="2" t="s">
        <v>31</v>
      </c>
      <c r="H325" s="2" t="s">
        <v>32</v>
      </c>
      <c r="K325" s="2" t="s">
        <v>3011</v>
      </c>
      <c r="L325" s="3" t="s">
        <v>3012</v>
      </c>
      <c r="M325" s="2" t="s">
        <v>3013</v>
      </c>
      <c r="O325" s="2" t="s">
        <v>3014</v>
      </c>
      <c r="P325" s="2" t="s">
        <v>37</v>
      </c>
      <c r="R325" s="2" t="s">
        <v>3015</v>
      </c>
      <c r="T325" s="2" t="s">
        <v>64</v>
      </c>
      <c r="X325" s="2" t="n">
        <v>10032</v>
      </c>
      <c r="Y325" s="2" t="s">
        <v>3016</v>
      </c>
      <c r="Z325" s="3" t="s">
        <v>3017</v>
      </c>
      <c r="AA325" s="2" t="s">
        <v>3018</v>
      </c>
    </row>
    <row r="326" customFormat="false" ht="13.8" hidden="false" customHeight="false" outlineLevel="0" collapsed="false">
      <c r="A326" s="0" t="str">
        <f aca="false">CONCATENATE("__import__.res_partner_",C326)</f>
        <v>__import__.res_partner_20000010033</v>
      </c>
      <c r="B326" s="2" t="s">
        <v>3019</v>
      </c>
      <c r="C326" s="3" t="s">
        <v>3020</v>
      </c>
      <c r="D326" s="2" t="s">
        <v>3021</v>
      </c>
      <c r="F326" s="2" t="s">
        <v>30</v>
      </c>
      <c r="G326" s="2" t="s">
        <v>31</v>
      </c>
      <c r="H326" s="2" t="s">
        <v>32</v>
      </c>
      <c r="K326" s="2" t="s">
        <v>3022</v>
      </c>
      <c r="L326" s="3" t="s">
        <v>1469</v>
      </c>
      <c r="M326" s="2" t="s">
        <v>3023</v>
      </c>
      <c r="O326" s="2" t="s">
        <v>3024</v>
      </c>
      <c r="P326" s="2" t="s">
        <v>37</v>
      </c>
      <c r="Q326" s="2" t="s">
        <v>3025</v>
      </c>
      <c r="R326" s="2" t="s">
        <v>3026</v>
      </c>
      <c r="T326" s="2" t="s">
        <v>97</v>
      </c>
      <c r="X326" s="2" t="n">
        <v>10033</v>
      </c>
      <c r="Y326" s="2" t="s">
        <v>3021</v>
      </c>
      <c r="Z326" s="3" t="s">
        <v>3027</v>
      </c>
    </row>
    <row r="327" customFormat="false" ht="150.7" hidden="false" customHeight="false" outlineLevel="0" collapsed="false">
      <c r="A327" s="0" t="str">
        <f aca="false">CONCATENATE("__import__.res_partner_",C327)</f>
        <v>__import__.res_partner_20000010034</v>
      </c>
      <c r="B327" s="2" t="s">
        <v>3028</v>
      </c>
      <c r="C327" s="3" t="s">
        <v>3029</v>
      </c>
      <c r="D327" s="2" t="s">
        <v>3030</v>
      </c>
      <c r="F327" s="2" t="s">
        <v>30</v>
      </c>
      <c r="G327" s="2" t="s">
        <v>31</v>
      </c>
      <c r="H327" s="2" t="s">
        <v>32</v>
      </c>
      <c r="K327" s="2" t="s">
        <v>3031</v>
      </c>
      <c r="L327" s="3" t="s">
        <v>3032</v>
      </c>
      <c r="M327" s="2" t="s">
        <v>3033</v>
      </c>
      <c r="O327" s="2" t="s">
        <v>3034</v>
      </c>
      <c r="P327" s="2" t="s">
        <v>37</v>
      </c>
      <c r="Q327" s="2" t="s">
        <v>3035</v>
      </c>
      <c r="R327" s="2" t="s">
        <v>3036</v>
      </c>
      <c r="T327" s="2" t="s">
        <v>97</v>
      </c>
      <c r="X327" s="2" t="n">
        <v>10034</v>
      </c>
      <c r="Y327" s="2" t="s">
        <v>3030</v>
      </c>
      <c r="Z327" s="3" t="s">
        <v>3037</v>
      </c>
      <c r="AA327" s="4" t="s">
        <v>3038</v>
      </c>
    </row>
    <row r="328" customFormat="false" ht="13.8" hidden="false" customHeight="false" outlineLevel="0" collapsed="false">
      <c r="A328" s="0" t="str">
        <f aca="false">CONCATENATE("__import__.res_partner_",C328)</f>
        <v>__import__.res_partner_20000010035</v>
      </c>
      <c r="B328" s="2" t="s">
        <v>3039</v>
      </c>
      <c r="C328" s="3" t="s">
        <v>3040</v>
      </c>
      <c r="D328" s="2" t="s">
        <v>3041</v>
      </c>
      <c r="F328" s="2" t="s">
        <v>30</v>
      </c>
      <c r="G328" s="2" t="s">
        <v>31</v>
      </c>
      <c r="H328" s="2" t="s">
        <v>32</v>
      </c>
      <c r="K328" s="2" t="s">
        <v>3042</v>
      </c>
      <c r="L328" s="3" t="s">
        <v>3043</v>
      </c>
      <c r="M328" s="2" t="s">
        <v>3044</v>
      </c>
      <c r="O328" s="2" t="s">
        <v>3045</v>
      </c>
      <c r="P328" s="2" t="s">
        <v>37</v>
      </c>
      <c r="Q328" s="2" t="s">
        <v>3046</v>
      </c>
      <c r="R328" s="2" t="s">
        <v>3047</v>
      </c>
      <c r="T328" s="2" t="s">
        <v>97</v>
      </c>
      <c r="X328" s="2" t="n">
        <v>10035</v>
      </c>
      <c r="Y328" s="2" t="s">
        <v>3048</v>
      </c>
      <c r="Z328" s="3" t="s">
        <v>3049</v>
      </c>
    </row>
    <row r="329" customFormat="false" ht="13.8" hidden="false" customHeight="false" outlineLevel="0" collapsed="false">
      <c r="A329" s="0" t="str">
        <f aca="false">CONCATENATE("__import__.res_partner_",C329)</f>
        <v>__import__.res_partner_20000010036</v>
      </c>
      <c r="B329" s="2" t="s">
        <v>3050</v>
      </c>
      <c r="C329" s="3" t="s">
        <v>3051</v>
      </c>
      <c r="D329" s="2" t="s">
        <v>3052</v>
      </c>
      <c r="F329" s="2" t="s">
        <v>30</v>
      </c>
      <c r="G329" s="2" t="s">
        <v>31</v>
      </c>
      <c r="H329" s="2" t="s">
        <v>32</v>
      </c>
      <c r="K329" s="2" t="s">
        <v>3053</v>
      </c>
      <c r="L329" s="3" t="s">
        <v>3054</v>
      </c>
      <c r="M329" s="2" t="s">
        <v>3055</v>
      </c>
      <c r="O329" s="2" t="s">
        <v>3056</v>
      </c>
      <c r="P329" s="2" t="s">
        <v>37</v>
      </c>
      <c r="Q329" s="2" t="s">
        <v>326</v>
      </c>
      <c r="R329" s="2" t="s">
        <v>3057</v>
      </c>
      <c r="T329" s="2" t="s">
        <v>64</v>
      </c>
      <c r="X329" s="2" t="n">
        <v>10036</v>
      </c>
      <c r="Y329" s="2" t="s">
        <v>3052</v>
      </c>
      <c r="Z329" s="3" t="s">
        <v>3058</v>
      </c>
    </row>
    <row r="330" customFormat="false" ht="13.8" hidden="false" customHeight="false" outlineLevel="0" collapsed="false">
      <c r="A330" s="0" t="str">
        <f aca="false">CONCATENATE("__import__.res_partner_",C330)</f>
        <v>__import__.res_partner_20000010037</v>
      </c>
      <c r="B330" s="2" t="s">
        <v>3059</v>
      </c>
      <c r="C330" s="3" t="s">
        <v>3060</v>
      </c>
      <c r="D330" s="2" t="s">
        <v>3061</v>
      </c>
      <c r="F330" s="3" t="s">
        <v>557</v>
      </c>
      <c r="G330" s="2" t="s">
        <v>31</v>
      </c>
      <c r="H330" s="2" t="s">
        <v>32</v>
      </c>
      <c r="K330" s="2" t="s">
        <v>3062</v>
      </c>
      <c r="L330" s="3" t="s">
        <v>2890</v>
      </c>
      <c r="M330" s="2" t="s">
        <v>3063</v>
      </c>
      <c r="O330" s="2" t="s">
        <v>2754</v>
      </c>
      <c r="P330" s="2" t="s">
        <v>37</v>
      </c>
      <c r="Q330" s="2" t="s">
        <v>3064</v>
      </c>
      <c r="T330" s="2" t="s">
        <v>97</v>
      </c>
      <c r="V330" s="2" t="s">
        <v>3065</v>
      </c>
      <c r="W330" s="2" t="s">
        <v>3066</v>
      </c>
      <c r="X330" s="2" t="n">
        <v>10037</v>
      </c>
      <c r="Y330" s="2" t="s">
        <v>3067</v>
      </c>
      <c r="Z330" s="3" t="s">
        <v>3068</v>
      </c>
    </row>
    <row r="331" customFormat="false" ht="13.8" hidden="false" customHeight="false" outlineLevel="0" collapsed="false">
      <c r="A331" s="0" t="str">
        <f aca="false">CONCATENATE("__import__.res_partner_",C331)</f>
        <v>__import__.res_partner_20000010038</v>
      </c>
      <c r="B331" s="2" t="s">
        <v>3069</v>
      </c>
      <c r="C331" s="3" t="s">
        <v>3070</v>
      </c>
      <c r="D331" s="2" t="s">
        <v>3071</v>
      </c>
      <c r="F331" s="2" t="s">
        <v>30</v>
      </c>
      <c r="G331" s="2" t="s">
        <v>31</v>
      </c>
      <c r="H331" s="2" t="s">
        <v>32</v>
      </c>
      <c r="K331" s="2" t="s">
        <v>3072</v>
      </c>
      <c r="L331" s="3" t="s">
        <v>3073</v>
      </c>
      <c r="M331" s="2" t="s">
        <v>3074</v>
      </c>
      <c r="O331" s="2" t="s">
        <v>3075</v>
      </c>
      <c r="P331" s="2" t="s">
        <v>37</v>
      </c>
      <c r="Q331" s="2" t="s">
        <v>3076</v>
      </c>
      <c r="R331" s="2" t="s">
        <v>3077</v>
      </c>
      <c r="T331" s="2" t="s">
        <v>76</v>
      </c>
      <c r="X331" s="2" t="n">
        <v>10038</v>
      </c>
      <c r="Y331" s="2" t="s">
        <v>3078</v>
      </c>
      <c r="Z331" s="3" t="s">
        <v>3079</v>
      </c>
    </row>
    <row r="332" customFormat="false" ht="61.15" hidden="false" customHeight="false" outlineLevel="0" collapsed="false">
      <c r="A332" s="0" t="str">
        <f aca="false">CONCATENATE("__import__.res_partner_",C332)</f>
        <v>__import__.res_partner_20000010039</v>
      </c>
      <c r="B332" s="2" t="s">
        <v>3080</v>
      </c>
      <c r="C332" s="3" t="s">
        <v>3081</v>
      </c>
      <c r="D332" s="2" t="s">
        <v>3082</v>
      </c>
      <c r="F332" s="2" t="s">
        <v>30</v>
      </c>
      <c r="G332" s="2" t="s">
        <v>31</v>
      </c>
      <c r="H332" s="2" t="s">
        <v>32</v>
      </c>
      <c r="K332" s="2" t="s">
        <v>3083</v>
      </c>
      <c r="L332" s="3" t="s">
        <v>3084</v>
      </c>
      <c r="M332" s="2" t="s">
        <v>3085</v>
      </c>
      <c r="O332" s="2" t="s">
        <v>3086</v>
      </c>
      <c r="P332" s="2" t="s">
        <v>37</v>
      </c>
      <c r="Q332" s="2" t="s">
        <v>3087</v>
      </c>
      <c r="R332" s="2" t="s">
        <v>3088</v>
      </c>
      <c r="T332" s="2" t="s">
        <v>697</v>
      </c>
      <c r="X332" s="2" t="n">
        <v>10039</v>
      </c>
      <c r="Y332" s="2" t="s">
        <v>3089</v>
      </c>
      <c r="Z332" s="3" t="s">
        <v>3090</v>
      </c>
      <c r="AA332" s="4" t="s">
        <v>3091</v>
      </c>
    </row>
    <row r="333" customFormat="false" ht="13.8" hidden="false" customHeight="false" outlineLevel="0" collapsed="false">
      <c r="A333" s="0" t="str">
        <f aca="false">CONCATENATE("__import__.res_partner_",C333)</f>
        <v>__import__.res_partner_20000010040</v>
      </c>
      <c r="B333" s="2" t="s">
        <v>3092</v>
      </c>
      <c r="C333" s="3" t="s">
        <v>3093</v>
      </c>
      <c r="D333" s="2" t="s">
        <v>3094</v>
      </c>
      <c r="F333" s="2" t="s">
        <v>30</v>
      </c>
      <c r="G333" s="2" t="s">
        <v>31</v>
      </c>
      <c r="H333" s="2" t="s">
        <v>32</v>
      </c>
      <c r="K333" s="2" t="s">
        <v>3095</v>
      </c>
      <c r="L333" s="3" t="s">
        <v>3096</v>
      </c>
      <c r="M333" s="2" t="s">
        <v>3097</v>
      </c>
      <c r="O333" s="2" t="s">
        <v>705</v>
      </c>
      <c r="P333" s="2" t="s">
        <v>37</v>
      </c>
      <c r="Q333" s="2" t="s">
        <v>3098</v>
      </c>
      <c r="R333" s="2" t="s">
        <v>3099</v>
      </c>
      <c r="T333" s="2" t="s">
        <v>97</v>
      </c>
      <c r="X333" s="2" t="n">
        <v>10040</v>
      </c>
      <c r="Y333" s="2" t="s">
        <v>3094</v>
      </c>
      <c r="Z333" s="3" t="s">
        <v>3100</v>
      </c>
    </row>
    <row r="334" customFormat="false" ht="13.8" hidden="false" customHeight="false" outlineLevel="0" collapsed="false">
      <c r="A334" s="0" t="str">
        <f aca="false">CONCATENATE("__import__.res_partner_",C334)</f>
        <v>__import__.res_partner_20000010041</v>
      </c>
      <c r="B334" s="2" t="s">
        <v>3101</v>
      </c>
      <c r="C334" s="3" t="s">
        <v>3102</v>
      </c>
      <c r="D334" s="2" t="s">
        <v>3103</v>
      </c>
      <c r="F334" s="2" t="s">
        <v>30</v>
      </c>
      <c r="G334" s="2" t="s">
        <v>31</v>
      </c>
      <c r="H334" s="2" t="s">
        <v>32</v>
      </c>
      <c r="K334" s="2" t="s">
        <v>3104</v>
      </c>
      <c r="L334" s="3" t="s">
        <v>3105</v>
      </c>
      <c r="M334" s="2" t="s">
        <v>3106</v>
      </c>
      <c r="O334" s="2" t="s">
        <v>3107</v>
      </c>
      <c r="P334" s="2" t="s">
        <v>563</v>
      </c>
      <c r="Q334" s="2" t="s">
        <v>3108</v>
      </c>
      <c r="R334" s="2" t="s">
        <v>3109</v>
      </c>
      <c r="T334" s="2" t="s">
        <v>697</v>
      </c>
      <c r="X334" s="2" t="n">
        <v>10041</v>
      </c>
      <c r="Y334" s="2" t="s">
        <v>3110</v>
      </c>
      <c r="Z334" s="3" t="s">
        <v>3111</v>
      </c>
      <c r="AA334" s="2" t="s">
        <v>3112</v>
      </c>
    </row>
    <row r="335" customFormat="false" ht="13.8" hidden="false" customHeight="false" outlineLevel="0" collapsed="false">
      <c r="A335" s="0" t="str">
        <f aca="false">CONCATENATE("__import__.res_partner_",C335)</f>
        <v>__import__.res_partner_20000010042</v>
      </c>
      <c r="B335" s="2" t="s">
        <v>3113</v>
      </c>
      <c r="C335" s="3" t="s">
        <v>3114</v>
      </c>
      <c r="D335" s="2" t="s">
        <v>3115</v>
      </c>
      <c r="F335" s="2" t="s">
        <v>30</v>
      </c>
      <c r="G335" s="2" t="s">
        <v>31</v>
      </c>
      <c r="H335" s="2" t="s">
        <v>32</v>
      </c>
      <c r="K335" s="2" t="s">
        <v>3116</v>
      </c>
      <c r="L335" s="3" t="s">
        <v>714</v>
      </c>
      <c r="M335" s="2" t="s">
        <v>3117</v>
      </c>
      <c r="O335" s="2" t="s">
        <v>1647</v>
      </c>
      <c r="P335" s="2" t="s">
        <v>37</v>
      </c>
      <c r="Q335" s="2" t="s">
        <v>3118</v>
      </c>
      <c r="R335" s="2" t="s">
        <v>3119</v>
      </c>
      <c r="T335" s="2" t="s">
        <v>76</v>
      </c>
      <c r="X335" s="2" t="n">
        <v>10042</v>
      </c>
      <c r="Y335" s="2" t="s">
        <v>3120</v>
      </c>
      <c r="Z335" s="3" t="s">
        <v>3121</v>
      </c>
    </row>
    <row r="336" customFormat="false" ht="13.8" hidden="false" customHeight="false" outlineLevel="0" collapsed="false">
      <c r="A336" s="0" t="str">
        <f aca="false">CONCATENATE("__import__.res_partner_",C336)</f>
        <v>__import__.res_partner_20000010044</v>
      </c>
      <c r="B336" s="2" t="s">
        <v>3122</v>
      </c>
      <c r="C336" s="3" t="s">
        <v>3123</v>
      </c>
      <c r="D336" s="2" t="s">
        <v>3124</v>
      </c>
      <c r="F336" s="2" t="s">
        <v>30</v>
      </c>
      <c r="G336" s="2" t="s">
        <v>31</v>
      </c>
      <c r="H336" s="2" t="s">
        <v>32</v>
      </c>
      <c r="K336" s="2" t="s">
        <v>3125</v>
      </c>
      <c r="L336" s="3" t="s">
        <v>3126</v>
      </c>
      <c r="M336" s="2" t="s">
        <v>3127</v>
      </c>
      <c r="O336" s="2" t="s">
        <v>3128</v>
      </c>
      <c r="P336" s="2" t="s">
        <v>37</v>
      </c>
      <c r="Q336" s="2" t="s">
        <v>3129</v>
      </c>
      <c r="R336" s="3" t="s">
        <v>3130</v>
      </c>
      <c r="T336" s="2" t="s">
        <v>97</v>
      </c>
      <c r="X336" s="2" t="n">
        <v>10044</v>
      </c>
      <c r="Y336" s="2" t="s">
        <v>3131</v>
      </c>
      <c r="Z336" s="3" t="s">
        <v>3132</v>
      </c>
    </row>
    <row r="337" customFormat="false" ht="13.8" hidden="false" customHeight="false" outlineLevel="0" collapsed="false">
      <c r="A337" s="0" t="str">
        <f aca="false">CONCATENATE("__import__.res_partner_",C337)</f>
        <v>__import__.res_partner_20000010045</v>
      </c>
      <c r="B337" s="2" t="s">
        <v>3133</v>
      </c>
      <c r="C337" s="3" t="s">
        <v>3134</v>
      </c>
      <c r="D337" s="2" t="s">
        <v>3135</v>
      </c>
      <c r="F337" s="2" t="s">
        <v>30</v>
      </c>
      <c r="G337" s="2" t="s">
        <v>31</v>
      </c>
      <c r="H337" s="2" t="s">
        <v>32</v>
      </c>
      <c r="K337" s="2" t="s">
        <v>3136</v>
      </c>
      <c r="L337" s="3" t="s">
        <v>3137</v>
      </c>
      <c r="M337" s="2" t="s">
        <v>3138</v>
      </c>
      <c r="O337" s="2" t="s">
        <v>3139</v>
      </c>
      <c r="P337" s="2" t="s">
        <v>37</v>
      </c>
      <c r="Q337" s="2" t="s">
        <v>3140</v>
      </c>
      <c r="R337" s="2" t="s">
        <v>3141</v>
      </c>
      <c r="T337" s="2" t="s">
        <v>697</v>
      </c>
      <c r="V337" s="2" t="s">
        <v>3142</v>
      </c>
      <c r="X337" s="2" t="n">
        <v>10045</v>
      </c>
      <c r="Y337" s="2" t="s">
        <v>3143</v>
      </c>
      <c r="Z337" s="3" t="s">
        <v>3144</v>
      </c>
    </row>
    <row r="338" customFormat="false" ht="61.15" hidden="false" customHeight="false" outlineLevel="0" collapsed="false">
      <c r="A338" s="0" t="str">
        <f aca="false">CONCATENATE("__import__.res_partner_",C338)</f>
        <v>__import__.res_partner_20000010046</v>
      </c>
      <c r="B338" s="2" t="s">
        <v>3145</v>
      </c>
      <c r="C338" s="3" t="s">
        <v>3146</v>
      </c>
      <c r="D338" s="2" t="s">
        <v>3147</v>
      </c>
      <c r="F338" s="2" t="s">
        <v>30</v>
      </c>
      <c r="G338" s="2" t="s">
        <v>31</v>
      </c>
      <c r="H338" s="2" t="s">
        <v>32</v>
      </c>
      <c r="K338" s="2" t="s">
        <v>3148</v>
      </c>
      <c r="L338" s="3" t="s">
        <v>703</v>
      </c>
      <c r="M338" s="2" t="s">
        <v>3149</v>
      </c>
      <c r="O338" s="2" t="s">
        <v>705</v>
      </c>
      <c r="P338" s="2" t="s">
        <v>37</v>
      </c>
      <c r="Q338" s="2" t="s">
        <v>3150</v>
      </c>
      <c r="R338" s="2" t="s">
        <v>3151</v>
      </c>
      <c r="T338" s="2" t="s">
        <v>97</v>
      </c>
      <c r="X338" s="2" t="n">
        <v>10046</v>
      </c>
      <c r="Y338" s="2" t="s">
        <v>3152</v>
      </c>
      <c r="Z338" s="3" t="s">
        <v>3153</v>
      </c>
      <c r="AA338" s="4" t="s">
        <v>3154</v>
      </c>
    </row>
    <row r="339" customFormat="false" ht="46.25" hidden="false" customHeight="false" outlineLevel="0" collapsed="false">
      <c r="A339" s="0" t="str">
        <f aca="false">CONCATENATE("__import__.res_partner_",C339)</f>
        <v>__import__.res_partner_20000010047</v>
      </c>
      <c r="B339" s="2" t="s">
        <v>3155</v>
      </c>
      <c r="C339" s="3" t="s">
        <v>3156</v>
      </c>
      <c r="D339" s="2" t="s">
        <v>3157</v>
      </c>
      <c r="F339" s="2" t="s">
        <v>30</v>
      </c>
      <c r="G339" s="2" t="s">
        <v>31</v>
      </c>
      <c r="H339" s="2" t="s">
        <v>32</v>
      </c>
      <c r="K339" s="2" t="s">
        <v>3158</v>
      </c>
      <c r="L339" s="3" t="s">
        <v>163</v>
      </c>
      <c r="M339" s="2" t="s">
        <v>3159</v>
      </c>
      <c r="O339" s="2" t="s">
        <v>165</v>
      </c>
      <c r="P339" s="2" t="s">
        <v>37</v>
      </c>
      <c r="Q339" s="2" t="s">
        <v>3160</v>
      </c>
      <c r="R339" s="2" t="s">
        <v>3161</v>
      </c>
      <c r="T339" s="2" t="s">
        <v>97</v>
      </c>
      <c r="X339" s="2" t="n">
        <v>10047</v>
      </c>
      <c r="Y339" s="2" t="s">
        <v>3157</v>
      </c>
      <c r="Z339" s="3" t="s">
        <v>3162</v>
      </c>
      <c r="AA339" s="4" t="s">
        <v>3163</v>
      </c>
    </row>
    <row r="340" customFormat="false" ht="13.8" hidden="false" customHeight="false" outlineLevel="0" collapsed="false">
      <c r="A340" s="0" t="str">
        <f aca="false">CONCATENATE("__import__.res_partner_",C340)</f>
        <v>__import__.res_partner_20000010048</v>
      </c>
      <c r="B340" s="2" t="s">
        <v>3164</v>
      </c>
      <c r="C340" s="3" t="s">
        <v>3165</v>
      </c>
      <c r="D340" s="2" t="s">
        <v>3166</v>
      </c>
      <c r="F340" s="2" t="s">
        <v>30</v>
      </c>
      <c r="G340" s="2" t="s">
        <v>31</v>
      </c>
      <c r="H340" s="2" t="s">
        <v>32</v>
      </c>
      <c r="K340" s="2" t="s">
        <v>3167</v>
      </c>
      <c r="L340" s="3" t="s">
        <v>3168</v>
      </c>
      <c r="M340" s="2" t="s">
        <v>3169</v>
      </c>
      <c r="O340" s="2" t="s">
        <v>3170</v>
      </c>
      <c r="P340" s="2" t="s">
        <v>37</v>
      </c>
      <c r="Q340" s="2" t="s">
        <v>3171</v>
      </c>
      <c r="R340" s="2" t="s">
        <v>3172</v>
      </c>
      <c r="T340" s="2" t="s">
        <v>64</v>
      </c>
      <c r="X340" s="2" t="n">
        <v>10048</v>
      </c>
      <c r="Y340" s="2" t="s">
        <v>3173</v>
      </c>
      <c r="Z340" s="3" t="s">
        <v>3174</v>
      </c>
    </row>
    <row r="341" customFormat="false" ht="13.8" hidden="false" customHeight="false" outlineLevel="0" collapsed="false">
      <c r="A341" s="0" t="str">
        <f aca="false">CONCATENATE("__import__.res_partner_",C341)</f>
        <v>__import__.res_partner_20000010049</v>
      </c>
      <c r="B341" s="2" t="s">
        <v>3175</v>
      </c>
      <c r="C341" s="3" t="s">
        <v>3176</v>
      </c>
      <c r="D341" s="2" t="s">
        <v>3177</v>
      </c>
      <c r="F341" s="2" t="s">
        <v>30</v>
      </c>
      <c r="G341" s="2" t="s">
        <v>31</v>
      </c>
      <c r="H341" s="2" t="s">
        <v>32</v>
      </c>
      <c r="K341" s="2" t="s">
        <v>3178</v>
      </c>
      <c r="L341" s="3" t="s">
        <v>3179</v>
      </c>
      <c r="M341" s="2" t="s">
        <v>3180</v>
      </c>
      <c r="O341" s="2" t="s">
        <v>3181</v>
      </c>
      <c r="P341" s="2" t="s">
        <v>37</v>
      </c>
      <c r="Q341" s="2" t="s">
        <v>3182</v>
      </c>
      <c r="R341" s="2" t="s">
        <v>3183</v>
      </c>
      <c r="T341" s="2" t="s">
        <v>97</v>
      </c>
      <c r="X341" s="2" t="n">
        <v>10049</v>
      </c>
      <c r="Y341" s="2" t="s">
        <v>3177</v>
      </c>
      <c r="Z341" s="3" t="s">
        <v>3184</v>
      </c>
    </row>
    <row r="342" customFormat="false" ht="13.8" hidden="false" customHeight="false" outlineLevel="0" collapsed="false">
      <c r="A342" s="0" t="str">
        <f aca="false">CONCATENATE("__import__.res_partner_",C342)</f>
        <v>__import__.res_partner_20000010050</v>
      </c>
      <c r="B342" s="2" t="s">
        <v>3185</v>
      </c>
      <c r="C342" s="3" t="s">
        <v>3186</v>
      </c>
      <c r="D342" s="2" t="s">
        <v>3187</v>
      </c>
      <c r="F342" s="2" t="s">
        <v>30</v>
      </c>
      <c r="G342" s="2" t="s">
        <v>31</v>
      </c>
      <c r="H342" s="2" t="s">
        <v>32</v>
      </c>
      <c r="K342" s="2" t="s">
        <v>3188</v>
      </c>
      <c r="L342" s="3" t="s">
        <v>3189</v>
      </c>
      <c r="M342" s="2" t="s">
        <v>3190</v>
      </c>
      <c r="O342" s="2" t="s">
        <v>3191</v>
      </c>
      <c r="P342" s="2" t="s">
        <v>37</v>
      </c>
      <c r="Q342" s="2" t="s">
        <v>232</v>
      </c>
      <c r="R342" s="2" t="s">
        <v>3192</v>
      </c>
      <c r="T342" s="2" t="s">
        <v>64</v>
      </c>
      <c r="X342" s="2" t="n">
        <v>10050</v>
      </c>
      <c r="Y342" s="2" t="s">
        <v>3187</v>
      </c>
      <c r="Z342" s="3" t="s">
        <v>3193</v>
      </c>
    </row>
    <row r="343" customFormat="false" ht="13.8" hidden="false" customHeight="false" outlineLevel="0" collapsed="false">
      <c r="A343" s="0" t="str">
        <f aca="false">CONCATENATE("__import__.res_partner_",C343)</f>
        <v>__import__.res_partner_20000010051</v>
      </c>
      <c r="B343" s="2" t="s">
        <v>3194</v>
      </c>
      <c r="C343" s="3" t="s">
        <v>3195</v>
      </c>
      <c r="D343" s="2" t="s">
        <v>3196</v>
      </c>
      <c r="F343" s="2" t="s">
        <v>30</v>
      </c>
      <c r="G343" s="2" t="s">
        <v>31</v>
      </c>
      <c r="H343" s="2" t="s">
        <v>32</v>
      </c>
      <c r="K343" s="2" t="s">
        <v>3197</v>
      </c>
      <c r="L343" s="3" t="s">
        <v>3198</v>
      </c>
      <c r="M343" s="2" t="s">
        <v>3199</v>
      </c>
      <c r="O343" s="2" t="s">
        <v>3200</v>
      </c>
      <c r="P343" s="2" t="s">
        <v>37</v>
      </c>
      <c r="R343" s="2" t="s">
        <v>3201</v>
      </c>
      <c r="T343" s="2" t="s">
        <v>40</v>
      </c>
      <c r="X343" s="2" t="n">
        <v>10051</v>
      </c>
      <c r="Y343" s="2" t="s">
        <v>3196</v>
      </c>
      <c r="Z343" s="3" t="s">
        <v>3202</v>
      </c>
    </row>
    <row r="344" customFormat="false" ht="13.8" hidden="false" customHeight="false" outlineLevel="0" collapsed="false">
      <c r="A344" s="0" t="str">
        <f aca="false">CONCATENATE("__import__.res_partner_",C344)</f>
        <v>__import__.res_partner_20000010053</v>
      </c>
      <c r="B344" s="2" t="s">
        <v>3203</v>
      </c>
      <c r="C344" s="3" t="s">
        <v>3204</v>
      </c>
      <c r="D344" s="2" t="s">
        <v>3205</v>
      </c>
      <c r="F344" s="2" t="s">
        <v>30</v>
      </c>
      <c r="G344" s="2" t="s">
        <v>31</v>
      </c>
      <c r="H344" s="2" t="s">
        <v>32</v>
      </c>
      <c r="K344" s="2" t="s">
        <v>3206</v>
      </c>
      <c r="L344" s="3" t="s">
        <v>3207</v>
      </c>
      <c r="M344" s="2" t="s">
        <v>3208</v>
      </c>
      <c r="O344" s="2" t="s">
        <v>3209</v>
      </c>
      <c r="P344" s="2" t="s">
        <v>37</v>
      </c>
      <c r="Q344" s="2" t="s">
        <v>3210</v>
      </c>
      <c r="R344" s="2" t="s">
        <v>3211</v>
      </c>
      <c r="T344" s="2" t="s">
        <v>97</v>
      </c>
      <c r="X344" s="2" t="n">
        <v>10053</v>
      </c>
      <c r="Y344" s="2" t="s">
        <v>3205</v>
      </c>
      <c r="Z344" s="3" t="s">
        <v>3212</v>
      </c>
    </row>
    <row r="345" customFormat="false" ht="13.8" hidden="false" customHeight="false" outlineLevel="0" collapsed="false">
      <c r="A345" s="0" t="str">
        <f aca="false">CONCATENATE("__import__.res_partner_",C345)</f>
        <v>__import__.res_partner_20000010054</v>
      </c>
      <c r="B345" s="2" t="s">
        <v>3213</v>
      </c>
      <c r="C345" s="3" t="s">
        <v>3214</v>
      </c>
      <c r="D345" s="2" t="s">
        <v>3215</v>
      </c>
      <c r="F345" s="2" t="s">
        <v>30</v>
      </c>
      <c r="G345" s="2" t="s">
        <v>31</v>
      </c>
      <c r="H345" s="2" t="s">
        <v>32</v>
      </c>
      <c r="K345" s="2" t="s">
        <v>3216</v>
      </c>
      <c r="L345" s="3" t="s">
        <v>2110</v>
      </c>
      <c r="M345" s="2" t="s">
        <v>3217</v>
      </c>
      <c r="O345" s="2" t="s">
        <v>3218</v>
      </c>
      <c r="P345" s="2" t="s">
        <v>37</v>
      </c>
      <c r="Q345" s="2" t="s">
        <v>326</v>
      </c>
      <c r="R345" s="2" t="s">
        <v>3219</v>
      </c>
      <c r="T345" s="2" t="s">
        <v>40</v>
      </c>
      <c r="X345" s="2" t="n">
        <v>10054</v>
      </c>
      <c r="Y345" s="2" t="s">
        <v>3220</v>
      </c>
      <c r="Z345" s="3" t="s">
        <v>3221</v>
      </c>
    </row>
    <row r="346" customFormat="false" ht="13.8" hidden="false" customHeight="false" outlineLevel="0" collapsed="false">
      <c r="A346" s="0" t="str">
        <f aca="false">CONCATENATE("__import__.res_partner_",C346)</f>
        <v>__import__.res_partner_20000010055</v>
      </c>
      <c r="B346" s="2" t="s">
        <v>3222</v>
      </c>
      <c r="C346" s="3" t="s">
        <v>3223</v>
      </c>
      <c r="D346" s="2" t="s">
        <v>3224</v>
      </c>
      <c r="F346" s="2" t="s">
        <v>30</v>
      </c>
      <c r="G346" s="2" t="s">
        <v>31</v>
      </c>
      <c r="H346" s="2" t="s">
        <v>32</v>
      </c>
      <c r="K346" s="2" t="s">
        <v>3225</v>
      </c>
      <c r="L346" s="3" t="s">
        <v>305</v>
      </c>
      <c r="M346" s="2" t="s">
        <v>3226</v>
      </c>
      <c r="O346" s="2" t="s">
        <v>3227</v>
      </c>
      <c r="P346" s="2" t="s">
        <v>37</v>
      </c>
      <c r="Q346" s="2" t="s">
        <v>3228</v>
      </c>
      <c r="R346" s="2" t="s">
        <v>3229</v>
      </c>
      <c r="T346" s="2" t="s">
        <v>64</v>
      </c>
      <c r="X346" s="2" t="n">
        <v>10055</v>
      </c>
      <c r="Y346" s="2" t="s">
        <v>3220</v>
      </c>
      <c r="Z346" s="3" t="s">
        <v>3230</v>
      </c>
    </row>
    <row r="347" customFormat="false" ht="13.8" hidden="false" customHeight="false" outlineLevel="0" collapsed="false">
      <c r="A347" s="0" t="str">
        <f aca="false">CONCATENATE("__import__.res_partner_",C347)</f>
        <v>__import__.res_partner_20000010057</v>
      </c>
      <c r="B347" s="2" t="s">
        <v>3231</v>
      </c>
      <c r="C347" s="3" t="s">
        <v>3232</v>
      </c>
      <c r="D347" s="2" t="s">
        <v>3233</v>
      </c>
      <c r="F347" s="2" t="s">
        <v>30</v>
      </c>
      <c r="G347" s="2" t="s">
        <v>31</v>
      </c>
      <c r="H347" s="2" t="s">
        <v>32</v>
      </c>
      <c r="K347" s="2" t="s">
        <v>3234</v>
      </c>
      <c r="L347" s="3" t="s">
        <v>3235</v>
      </c>
      <c r="M347" s="2" t="s">
        <v>3236</v>
      </c>
      <c r="O347" s="2" t="s">
        <v>3237</v>
      </c>
      <c r="P347" s="2" t="s">
        <v>37</v>
      </c>
      <c r="Q347" s="2" t="s">
        <v>3238</v>
      </c>
      <c r="R347" s="2" t="s">
        <v>3239</v>
      </c>
      <c r="T347" s="2" t="s">
        <v>76</v>
      </c>
      <c r="X347" s="2" t="n">
        <v>10057</v>
      </c>
      <c r="Y347" s="2" t="s">
        <v>3233</v>
      </c>
      <c r="Z347" s="3" t="s">
        <v>3240</v>
      </c>
    </row>
    <row r="348" customFormat="false" ht="13.8" hidden="false" customHeight="false" outlineLevel="0" collapsed="false">
      <c r="A348" s="0" t="str">
        <f aca="false">CONCATENATE("__import__.res_partner_",C348)</f>
        <v>__import__.res_partner_20000010058</v>
      </c>
      <c r="B348" s="2" t="s">
        <v>3241</v>
      </c>
      <c r="C348" s="3" t="s">
        <v>3242</v>
      </c>
      <c r="D348" s="2" t="s">
        <v>3243</v>
      </c>
      <c r="F348" s="2" t="s">
        <v>30</v>
      </c>
      <c r="G348" s="2" t="s">
        <v>31</v>
      </c>
      <c r="H348" s="2" t="s">
        <v>32</v>
      </c>
      <c r="K348" s="2" t="s">
        <v>3244</v>
      </c>
      <c r="L348" s="3" t="s">
        <v>3245</v>
      </c>
      <c r="M348" s="2" t="s">
        <v>3246</v>
      </c>
      <c r="O348" s="2" t="s">
        <v>3247</v>
      </c>
      <c r="P348" s="2" t="s">
        <v>37</v>
      </c>
      <c r="Q348" s="2" t="s">
        <v>3248</v>
      </c>
      <c r="R348" s="2" t="s">
        <v>3249</v>
      </c>
      <c r="T348" s="2" t="s">
        <v>40</v>
      </c>
      <c r="X348" s="2" t="n">
        <v>10058</v>
      </c>
      <c r="Y348" s="2" t="s">
        <v>3250</v>
      </c>
      <c r="Z348" s="3" t="s">
        <v>3251</v>
      </c>
      <c r="AA348" s="2" t="s">
        <v>3252</v>
      </c>
    </row>
    <row r="349" customFormat="false" ht="13.8" hidden="false" customHeight="false" outlineLevel="0" collapsed="false">
      <c r="A349" s="0" t="str">
        <f aca="false">CONCATENATE("__import__.res_partner_",C349)</f>
        <v>__import__.res_partner_20000010059</v>
      </c>
      <c r="B349" s="2" t="s">
        <v>3253</v>
      </c>
      <c r="C349" s="3" t="s">
        <v>3254</v>
      </c>
      <c r="D349" s="2" t="s">
        <v>3255</v>
      </c>
      <c r="F349" s="3" t="s">
        <v>557</v>
      </c>
      <c r="G349" s="2" t="s">
        <v>31</v>
      </c>
      <c r="H349" s="2" t="s">
        <v>32</v>
      </c>
      <c r="K349" s="2" t="s">
        <v>3256</v>
      </c>
      <c r="L349" s="3" t="s">
        <v>3257</v>
      </c>
      <c r="M349" s="2" t="s">
        <v>3258</v>
      </c>
      <c r="O349" s="2" t="s">
        <v>2881</v>
      </c>
      <c r="P349" s="2" t="s">
        <v>37</v>
      </c>
      <c r="T349" s="2" t="s">
        <v>76</v>
      </c>
      <c r="X349" s="2" t="n">
        <v>10059</v>
      </c>
      <c r="Y349" s="2" t="s">
        <v>3259</v>
      </c>
      <c r="Z349" s="3" t="s">
        <v>3260</v>
      </c>
    </row>
    <row r="350" customFormat="false" ht="13.8" hidden="false" customHeight="false" outlineLevel="0" collapsed="false">
      <c r="A350" s="0" t="str">
        <f aca="false">CONCATENATE("__import__.res_partner_",C350)</f>
        <v>__import__.res_partner_20000010060</v>
      </c>
      <c r="B350" s="2" t="s">
        <v>3261</v>
      </c>
      <c r="C350" s="3" t="s">
        <v>3262</v>
      </c>
      <c r="D350" s="2" t="s">
        <v>3263</v>
      </c>
      <c r="F350" s="2" t="s">
        <v>30</v>
      </c>
      <c r="G350" s="2" t="s">
        <v>31</v>
      </c>
      <c r="H350" s="2" t="s">
        <v>32</v>
      </c>
      <c r="K350" s="2" t="s">
        <v>3264</v>
      </c>
      <c r="L350" s="3" t="s">
        <v>209</v>
      </c>
      <c r="M350" s="2" t="s">
        <v>3265</v>
      </c>
      <c r="O350" s="2" t="s">
        <v>211</v>
      </c>
      <c r="P350" s="2" t="s">
        <v>37</v>
      </c>
      <c r="Q350" s="2" t="s">
        <v>3266</v>
      </c>
      <c r="R350" s="2" t="s">
        <v>3267</v>
      </c>
      <c r="T350" s="2" t="s">
        <v>697</v>
      </c>
      <c r="X350" s="2" t="n">
        <v>10060</v>
      </c>
      <c r="Y350" s="2" t="s">
        <v>3268</v>
      </c>
      <c r="Z350" s="3" t="s">
        <v>3269</v>
      </c>
    </row>
    <row r="351" customFormat="false" ht="13.8" hidden="false" customHeight="false" outlineLevel="0" collapsed="false">
      <c r="A351" s="0" t="str">
        <f aca="false">CONCATENATE("__import__.res_partner_",C351)</f>
        <v>__import__.res_partner_20000010061</v>
      </c>
      <c r="B351" s="2" t="s">
        <v>3270</v>
      </c>
      <c r="C351" s="3" t="s">
        <v>3271</v>
      </c>
      <c r="D351" s="2" t="s">
        <v>3272</v>
      </c>
      <c r="F351" s="2" t="s">
        <v>30</v>
      </c>
      <c r="G351" s="2" t="s">
        <v>31</v>
      </c>
      <c r="H351" s="2" t="s">
        <v>32</v>
      </c>
      <c r="K351" s="2" t="s">
        <v>3273</v>
      </c>
      <c r="L351" s="3" t="s">
        <v>2868</v>
      </c>
      <c r="M351" s="2" t="s">
        <v>3274</v>
      </c>
      <c r="O351" s="2" t="s">
        <v>2754</v>
      </c>
      <c r="P351" s="2" t="s">
        <v>37</v>
      </c>
      <c r="Q351" s="2" t="s">
        <v>3275</v>
      </c>
      <c r="R351" s="2" t="s">
        <v>3276</v>
      </c>
      <c r="T351" s="2" t="s">
        <v>697</v>
      </c>
      <c r="X351" s="2" t="n">
        <v>10061</v>
      </c>
      <c r="Y351" s="2" t="s">
        <v>3277</v>
      </c>
      <c r="Z351" s="3" t="s">
        <v>3278</v>
      </c>
    </row>
    <row r="352" customFormat="false" ht="76.1" hidden="false" customHeight="false" outlineLevel="0" collapsed="false">
      <c r="A352" s="0" t="str">
        <f aca="false">CONCATENATE("__import__.res_partner_",C352)</f>
        <v>__import__.res_partner_20000010062</v>
      </c>
      <c r="B352" s="2" t="s">
        <v>3279</v>
      </c>
      <c r="C352" s="3" t="s">
        <v>3280</v>
      </c>
      <c r="D352" s="2" t="s">
        <v>3281</v>
      </c>
      <c r="F352" s="2" t="s">
        <v>30</v>
      </c>
      <c r="G352" s="2" t="s">
        <v>31</v>
      </c>
      <c r="H352" s="2" t="s">
        <v>32</v>
      </c>
      <c r="K352" s="2" t="s">
        <v>3282</v>
      </c>
      <c r="L352" s="3" t="s">
        <v>3283</v>
      </c>
      <c r="M352" s="2" t="s">
        <v>3284</v>
      </c>
      <c r="O352" s="2" t="s">
        <v>3285</v>
      </c>
      <c r="P352" s="2" t="s">
        <v>37</v>
      </c>
      <c r="Q352" s="2" t="s">
        <v>3286</v>
      </c>
      <c r="R352" s="3" t="s">
        <v>3287</v>
      </c>
      <c r="T352" s="2" t="s">
        <v>697</v>
      </c>
      <c r="X352" s="2" t="n">
        <v>10062</v>
      </c>
      <c r="Y352" s="2" t="s">
        <v>3288</v>
      </c>
      <c r="Z352" s="3" t="s">
        <v>3289</v>
      </c>
      <c r="AA352" s="4" t="s">
        <v>3290</v>
      </c>
    </row>
    <row r="353" customFormat="false" ht="13.8" hidden="false" customHeight="false" outlineLevel="0" collapsed="false">
      <c r="A353" s="0" t="str">
        <f aca="false">CONCATENATE("__import__.res_partner_",C353)</f>
        <v>__import__.res_partner_20000010063</v>
      </c>
      <c r="B353" s="2" t="s">
        <v>3291</v>
      </c>
      <c r="C353" s="3" t="s">
        <v>3292</v>
      </c>
      <c r="D353" s="2" t="s">
        <v>3293</v>
      </c>
      <c r="F353" s="2" t="s">
        <v>30</v>
      </c>
      <c r="G353" s="2" t="s">
        <v>31</v>
      </c>
      <c r="H353" s="2" t="s">
        <v>32</v>
      </c>
      <c r="K353" s="2" t="s">
        <v>3294</v>
      </c>
      <c r="L353" s="3" t="s">
        <v>3295</v>
      </c>
      <c r="M353" s="2" t="s">
        <v>3296</v>
      </c>
      <c r="O353" s="2" t="s">
        <v>3297</v>
      </c>
      <c r="P353" s="2" t="s">
        <v>37</v>
      </c>
      <c r="Q353" s="2" t="s">
        <v>271</v>
      </c>
      <c r="R353" s="2" t="s">
        <v>3298</v>
      </c>
      <c r="T353" s="2" t="s">
        <v>40</v>
      </c>
      <c r="X353" s="2" t="n">
        <v>10063</v>
      </c>
      <c r="Y353" s="2" t="s">
        <v>3299</v>
      </c>
      <c r="Z353" s="3" t="s">
        <v>3300</v>
      </c>
    </row>
    <row r="354" customFormat="false" ht="13.8" hidden="false" customHeight="false" outlineLevel="0" collapsed="false">
      <c r="A354" s="0" t="str">
        <f aca="false">CONCATENATE("__import__.res_partner_",C354)</f>
        <v>__import__.res_partner_20000010067</v>
      </c>
      <c r="B354" s="2" t="s">
        <v>3301</v>
      </c>
      <c r="C354" s="3" t="s">
        <v>3302</v>
      </c>
      <c r="D354" s="2" t="s">
        <v>3303</v>
      </c>
      <c r="F354" s="2" t="s">
        <v>30</v>
      </c>
      <c r="G354" s="2" t="s">
        <v>31</v>
      </c>
      <c r="H354" s="2" t="s">
        <v>32</v>
      </c>
      <c r="K354" s="2" t="s">
        <v>3304</v>
      </c>
      <c r="L354" s="3" t="s">
        <v>3305</v>
      </c>
      <c r="M354" s="2" t="s">
        <v>3306</v>
      </c>
      <c r="O354" s="2" t="s">
        <v>36</v>
      </c>
      <c r="P354" s="2" t="s">
        <v>37</v>
      </c>
      <c r="Q354" s="2" t="s">
        <v>3307</v>
      </c>
      <c r="R354" s="2" t="s">
        <v>3308</v>
      </c>
      <c r="T354" s="2" t="s">
        <v>64</v>
      </c>
      <c r="X354" s="2" t="n">
        <v>10067</v>
      </c>
      <c r="Y354" s="2" t="s">
        <v>3309</v>
      </c>
      <c r="Z354" s="3" t="s">
        <v>3310</v>
      </c>
    </row>
    <row r="355" customFormat="false" ht="13.8" hidden="false" customHeight="false" outlineLevel="0" collapsed="false">
      <c r="A355" s="0" t="str">
        <f aca="false">CONCATENATE("__import__.res_partner_",C355)</f>
        <v>__import__.res_partner_20000010068</v>
      </c>
      <c r="B355" s="2" t="s">
        <v>3311</v>
      </c>
      <c r="C355" s="3" t="s">
        <v>3312</v>
      </c>
      <c r="D355" s="2" t="s">
        <v>3313</v>
      </c>
      <c r="F355" s="2" t="s">
        <v>30</v>
      </c>
      <c r="G355" s="2" t="s">
        <v>31</v>
      </c>
      <c r="H355" s="2" t="s">
        <v>32</v>
      </c>
      <c r="K355" s="2" t="s">
        <v>3314</v>
      </c>
      <c r="L355" s="3" t="s">
        <v>1204</v>
      </c>
      <c r="M355" s="2" t="s">
        <v>3315</v>
      </c>
      <c r="O355" s="2" t="s">
        <v>1206</v>
      </c>
      <c r="P355" s="2" t="s">
        <v>37</v>
      </c>
      <c r="Q355" s="2" t="s">
        <v>3316</v>
      </c>
      <c r="R355" s="3" t="s">
        <v>3317</v>
      </c>
      <c r="T355" s="2" t="s">
        <v>76</v>
      </c>
      <c r="X355" s="2" t="n">
        <v>10068</v>
      </c>
      <c r="Y355" s="2" t="s">
        <v>3313</v>
      </c>
      <c r="Z355" s="3" t="s">
        <v>3318</v>
      </c>
    </row>
    <row r="356" customFormat="false" ht="13.8" hidden="false" customHeight="false" outlineLevel="0" collapsed="false">
      <c r="A356" s="0" t="str">
        <f aca="false">CONCATENATE("__import__.res_partner_",C356)</f>
        <v>__import__.res_partner_20000010069</v>
      </c>
      <c r="B356" s="2" t="s">
        <v>3319</v>
      </c>
      <c r="C356" s="3" t="s">
        <v>3320</v>
      </c>
      <c r="D356" s="2" t="s">
        <v>3321</v>
      </c>
      <c r="F356" s="2" t="s">
        <v>30</v>
      </c>
      <c r="G356" s="2" t="s">
        <v>31</v>
      </c>
      <c r="H356" s="2" t="s">
        <v>32</v>
      </c>
      <c r="K356" s="2" t="s">
        <v>3322</v>
      </c>
      <c r="L356" s="3" t="s">
        <v>3323</v>
      </c>
      <c r="M356" s="2" t="s">
        <v>3324</v>
      </c>
      <c r="O356" s="2" t="s">
        <v>3325</v>
      </c>
      <c r="P356" s="2" t="s">
        <v>37</v>
      </c>
      <c r="Q356" s="2" t="s">
        <v>3326</v>
      </c>
      <c r="R356" s="2" t="s">
        <v>3327</v>
      </c>
      <c r="T356" s="2" t="s">
        <v>565</v>
      </c>
      <c r="X356" s="2" t="n">
        <v>10069</v>
      </c>
      <c r="Y356" s="2" t="s">
        <v>3321</v>
      </c>
      <c r="Z356" s="3" t="s">
        <v>3328</v>
      </c>
    </row>
    <row r="357" customFormat="false" ht="13.8" hidden="false" customHeight="false" outlineLevel="0" collapsed="false">
      <c r="A357" s="0" t="str">
        <f aca="false">CONCATENATE("__import__.res_partner_",C357)</f>
        <v>__import__.res_partner_20000010070</v>
      </c>
      <c r="B357" s="2" t="s">
        <v>3329</v>
      </c>
      <c r="C357" s="3" t="s">
        <v>3330</v>
      </c>
      <c r="D357" s="2" t="s">
        <v>3331</v>
      </c>
      <c r="F357" s="2" t="s">
        <v>30</v>
      </c>
      <c r="G357" s="2" t="s">
        <v>31</v>
      </c>
      <c r="H357" s="2" t="s">
        <v>32</v>
      </c>
      <c r="K357" s="2" t="s">
        <v>3332</v>
      </c>
      <c r="L357" s="3" t="s">
        <v>3333</v>
      </c>
      <c r="M357" s="2" t="s">
        <v>3334</v>
      </c>
      <c r="O357" s="2" t="s">
        <v>3335</v>
      </c>
      <c r="P357" s="2" t="s">
        <v>37</v>
      </c>
      <c r="Q357" s="2" t="s">
        <v>3336</v>
      </c>
      <c r="R357" s="2" t="s">
        <v>3337</v>
      </c>
      <c r="T357" s="2" t="s">
        <v>108</v>
      </c>
      <c r="X357" s="2" t="n">
        <v>10070</v>
      </c>
      <c r="Y357" s="2" t="s">
        <v>3331</v>
      </c>
      <c r="Z357" s="3" t="s">
        <v>3338</v>
      </c>
    </row>
    <row r="358" customFormat="false" ht="13.8" hidden="false" customHeight="false" outlineLevel="0" collapsed="false">
      <c r="A358" s="0" t="str">
        <f aca="false">CONCATENATE("__import__.res_partner_",C358)</f>
        <v>__import__.res_partner_20000010071</v>
      </c>
      <c r="B358" s="2" t="s">
        <v>3339</v>
      </c>
      <c r="C358" s="3" t="s">
        <v>3340</v>
      </c>
      <c r="D358" s="2" t="s">
        <v>3341</v>
      </c>
      <c r="F358" s="2" t="s">
        <v>30</v>
      </c>
      <c r="G358" s="2" t="s">
        <v>31</v>
      </c>
      <c r="H358" s="2" t="s">
        <v>32</v>
      </c>
      <c r="K358" s="2" t="s">
        <v>3342</v>
      </c>
      <c r="L358" s="3" t="s">
        <v>3343</v>
      </c>
      <c r="M358" s="2" t="s">
        <v>3344</v>
      </c>
      <c r="O358" s="2" t="s">
        <v>2754</v>
      </c>
      <c r="P358" s="2" t="s">
        <v>37</v>
      </c>
      <c r="R358" s="3" t="s">
        <v>3345</v>
      </c>
      <c r="T358" s="2" t="s">
        <v>697</v>
      </c>
      <c r="X358" s="2" t="n">
        <v>10071</v>
      </c>
      <c r="Y358" s="2" t="s">
        <v>3346</v>
      </c>
      <c r="Z358" s="3" t="s">
        <v>3347</v>
      </c>
    </row>
    <row r="359" customFormat="false" ht="13.8" hidden="false" customHeight="false" outlineLevel="0" collapsed="false">
      <c r="A359" s="0" t="str">
        <f aca="false">CONCATENATE("__import__.res_partner_",C359)</f>
        <v>__import__.res_partner_20000010072</v>
      </c>
      <c r="B359" s="2" t="s">
        <v>3348</v>
      </c>
      <c r="C359" s="3" t="s">
        <v>3349</v>
      </c>
      <c r="D359" s="2" t="s">
        <v>3350</v>
      </c>
      <c r="F359" s="2" t="s">
        <v>30</v>
      </c>
      <c r="G359" s="2" t="s">
        <v>31</v>
      </c>
      <c r="H359" s="2" t="s">
        <v>32</v>
      </c>
      <c r="K359" s="2" t="s">
        <v>3351</v>
      </c>
      <c r="L359" s="3" t="s">
        <v>3352</v>
      </c>
      <c r="M359" s="2" t="s">
        <v>3353</v>
      </c>
      <c r="O359" s="2" t="s">
        <v>3354</v>
      </c>
      <c r="P359" s="2" t="s">
        <v>37</v>
      </c>
      <c r="Q359" s="2" t="s">
        <v>3355</v>
      </c>
      <c r="R359" s="2" t="s">
        <v>3356</v>
      </c>
      <c r="T359" s="2" t="s">
        <v>97</v>
      </c>
      <c r="X359" s="2" t="n">
        <v>10072</v>
      </c>
      <c r="Y359" s="2" t="s">
        <v>3350</v>
      </c>
      <c r="Z359" s="3" t="s">
        <v>3357</v>
      </c>
    </row>
    <row r="360" customFormat="false" ht="13.8" hidden="false" customHeight="false" outlineLevel="0" collapsed="false">
      <c r="A360" s="0" t="str">
        <f aca="false">CONCATENATE("__import__.res_partner_",C360)</f>
        <v>__import__.res_partner_20000010073</v>
      </c>
      <c r="B360" s="2" t="s">
        <v>3358</v>
      </c>
      <c r="C360" s="3" t="s">
        <v>3359</v>
      </c>
      <c r="D360" s="2" t="s">
        <v>3360</v>
      </c>
      <c r="F360" s="2" t="s">
        <v>30</v>
      </c>
      <c r="G360" s="2" t="s">
        <v>31</v>
      </c>
      <c r="H360" s="2" t="s">
        <v>32</v>
      </c>
      <c r="K360" s="2" t="s">
        <v>3361</v>
      </c>
      <c r="L360" s="3" t="s">
        <v>3362</v>
      </c>
      <c r="M360" s="2" t="s">
        <v>3363</v>
      </c>
      <c r="O360" s="2" t="s">
        <v>2754</v>
      </c>
      <c r="P360" s="2" t="s">
        <v>37</v>
      </c>
      <c r="Q360" s="2" t="s">
        <v>3364</v>
      </c>
      <c r="R360" s="2" t="s">
        <v>3365</v>
      </c>
      <c r="T360" s="2" t="s">
        <v>76</v>
      </c>
      <c r="X360" s="2" t="n">
        <v>10073</v>
      </c>
      <c r="Y360" s="2" t="s">
        <v>3360</v>
      </c>
      <c r="Z360" s="3" t="s">
        <v>3366</v>
      </c>
      <c r="AA360" s="2" t="s">
        <v>3367</v>
      </c>
    </row>
    <row r="361" customFormat="false" ht="13.8" hidden="false" customHeight="false" outlineLevel="0" collapsed="false">
      <c r="A361" s="0" t="str">
        <f aca="false">CONCATENATE("__import__.res_partner_",C361)</f>
        <v>__import__.res_partner_20000010074</v>
      </c>
      <c r="B361" s="2" t="s">
        <v>3368</v>
      </c>
      <c r="C361" s="3" t="s">
        <v>3369</v>
      </c>
      <c r="D361" s="2" t="s">
        <v>3370</v>
      </c>
      <c r="F361" s="3" t="s">
        <v>557</v>
      </c>
      <c r="G361" s="2" t="s">
        <v>31</v>
      </c>
      <c r="H361" s="2" t="s">
        <v>32</v>
      </c>
      <c r="K361" s="2" t="s">
        <v>3371</v>
      </c>
      <c r="L361" s="3" t="s">
        <v>3372</v>
      </c>
      <c r="M361" s="2" t="s">
        <v>3373</v>
      </c>
      <c r="O361" s="2" t="s">
        <v>3374</v>
      </c>
      <c r="P361" s="2" t="s">
        <v>37</v>
      </c>
      <c r="Q361" s="2" t="s">
        <v>3375</v>
      </c>
      <c r="R361" s="2" t="s">
        <v>3376</v>
      </c>
      <c r="T361" s="2" t="s">
        <v>76</v>
      </c>
      <c r="X361" s="2" t="n">
        <v>10074</v>
      </c>
      <c r="Y361" s="2" t="s">
        <v>3377</v>
      </c>
      <c r="Z361" s="3" t="s">
        <v>3378</v>
      </c>
    </row>
    <row r="362" customFormat="false" ht="13.8" hidden="false" customHeight="false" outlineLevel="0" collapsed="false">
      <c r="A362" s="0" t="str">
        <f aca="false">CONCATENATE("__import__.res_partner_",C362)</f>
        <v>__import__.res_partner_20000010075</v>
      </c>
      <c r="B362" s="2" t="s">
        <v>3379</v>
      </c>
      <c r="C362" s="3" t="s">
        <v>3380</v>
      </c>
      <c r="D362" s="2" t="s">
        <v>3381</v>
      </c>
      <c r="F362" s="2" t="s">
        <v>30</v>
      </c>
      <c r="G362" s="2" t="s">
        <v>31</v>
      </c>
      <c r="H362" s="2" t="s">
        <v>32</v>
      </c>
      <c r="K362" s="2" t="s">
        <v>3382</v>
      </c>
      <c r="L362" s="3" t="s">
        <v>3383</v>
      </c>
      <c r="M362" s="2" t="s">
        <v>3384</v>
      </c>
      <c r="O362" s="2" t="s">
        <v>1058</v>
      </c>
      <c r="P362" s="2" t="s">
        <v>37</v>
      </c>
      <c r="Q362" s="2" t="s">
        <v>3385</v>
      </c>
      <c r="R362" s="2" t="s">
        <v>3386</v>
      </c>
      <c r="T362" s="2" t="s">
        <v>76</v>
      </c>
      <c r="X362" s="2" t="n">
        <v>10075</v>
      </c>
      <c r="Y362" s="2" t="s">
        <v>3387</v>
      </c>
      <c r="Z362" s="3" t="s">
        <v>3388</v>
      </c>
      <c r="AA362" s="2" t="s">
        <v>3389</v>
      </c>
    </row>
    <row r="363" customFormat="false" ht="13.8" hidden="false" customHeight="false" outlineLevel="0" collapsed="false">
      <c r="A363" s="0" t="str">
        <f aca="false">CONCATENATE("__import__.res_partner_",C363)</f>
        <v>__import__.res_partner_20000010076</v>
      </c>
      <c r="B363" s="2" t="s">
        <v>3390</v>
      </c>
      <c r="C363" s="3" t="s">
        <v>3391</v>
      </c>
      <c r="D363" s="2" t="s">
        <v>3392</v>
      </c>
      <c r="F363" s="2" t="s">
        <v>30</v>
      </c>
      <c r="G363" s="2" t="s">
        <v>31</v>
      </c>
      <c r="H363" s="2" t="s">
        <v>32</v>
      </c>
      <c r="K363" s="2" t="s">
        <v>3393</v>
      </c>
      <c r="L363" s="3" t="s">
        <v>3394</v>
      </c>
      <c r="M363" s="2" t="s">
        <v>3395</v>
      </c>
      <c r="O363" s="2" t="s">
        <v>3396</v>
      </c>
      <c r="P363" s="2" t="s">
        <v>37</v>
      </c>
      <c r="Q363" s="2" t="s">
        <v>3397</v>
      </c>
      <c r="R363" s="2" t="s">
        <v>3398</v>
      </c>
      <c r="T363" s="2" t="s">
        <v>64</v>
      </c>
      <c r="X363" s="2" t="n">
        <v>10076</v>
      </c>
      <c r="Y363" s="2" t="s">
        <v>3399</v>
      </c>
      <c r="Z363" s="3" t="s">
        <v>3400</v>
      </c>
      <c r="AA363" s="2" t="s">
        <v>3401</v>
      </c>
    </row>
    <row r="364" customFormat="false" ht="13.8" hidden="false" customHeight="false" outlineLevel="0" collapsed="false">
      <c r="A364" s="0" t="str">
        <f aca="false">CONCATENATE("__import__.res_partner_",C364)</f>
        <v>__import__.res_partner_20000010077</v>
      </c>
      <c r="B364" s="2" t="s">
        <v>3402</v>
      </c>
      <c r="C364" s="3" t="s">
        <v>3403</v>
      </c>
      <c r="D364" s="2" t="s">
        <v>3404</v>
      </c>
      <c r="F364" s="2" t="s">
        <v>30</v>
      </c>
      <c r="G364" s="2" t="s">
        <v>31</v>
      </c>
      <c r="H364" s="2" t="s">
        <v>32</v>
      </c>
      <c r="K364" s="2" t="s">
        <v>3405</v>
      </c>
      <c r="L364" s="3" t="s">
        <v>133</v>
      </c>
      <c r="M364" s="2" t="s">
        <v>3406</v>
      </c>
      <c r="O364" s="2" t="s">
        <v>135</v>
      </c>
      <c r="P364" s="2" t="s">
        <v>37</v>
      </c>
      <c r="Q364" s="2" t="s">
        <v>3407</v>
      </c>
      <c r="R364" s="2" t="s">
        <v>3408</v>
      </c>
      <c r="T364" s="2" t="s">
        <v>40</v>
      </c>
      <c r="X364" s="2" t="n">
        <v>10077</v>
      </c>
      <c r="Y364" s="2" t="s">
        <v>3404</v>
      </c>
      <c r="Z364" s="3" t="s">
        <v>3409</v>
      </c>
      <c r="AA364" s="2" t="s">
        <v>3410</v>
      </c>
    </row>
    <row r="365" customFormat="false" ht="13.8" hidden="false" customHeight="false" outlineLevel="0" collapsed="false">
      <c r="A365" s="0" t="str">
        <f aca="false">CONCATENATE("__import__.res_partner_",C365)</f>
        <v>__import__.res_partner_20000010078</v>
      </c>
      <c r="B365" s="2" t="s">
        <v>3411</v>
      </c>
      <c r="C365" s="3" t="s">
        <v>3412</v>
      </c>
      <c r="D365" s="2" t="s">
        <v>3413</v>
      </c>
      <c r="F365" s="2" t="s">
        <v>30</v>
      </c>
      <c r="G365" s="2" t="s">
        <v>31</v>
      </c>
      <c r="H365" s="2" t="s">
        <v>32</v>
      </c>
      <c r="K365" s="2" t="s">
        <v>3414</v>
      </c>
      <c r="L365" s="3" t="s">
        <v>509</v>
      </c>
      <c r="M365" s="2" t="s">
        <v>3415</v>
      </c>
      <c r="O365" s="2" t="s">
        <v>511</v>
      </c>
      <c r="P365" s="2" t="s">
        <v>37</v>
      </c>
      <c r="R365" s="2" t="s">
        <v>3416</v>
      </c>
      <c r="T365" s="2" t="s">
        <v>76</v>
      </c>
      <c r="X365" s="2" t="n">
        <v>10078</v>
      </c>
      <c r="Y365" s="2" t="s">
        <v>3413</v>
      </c>
      <c r="Z365" s="3" t="s">
        <v>3417</v>
      </c>
    </row>
    <row r="366" customFormat="false" ht="13.8" hidden="false" customHeight="false" outlineLevel="0" collapsed="false">
      <c r="A366" s="0" t="str">
        <f aca="false">CONCATENATE("__import__.res_partner_",C366)</f>
        <v>__import__.res_partner_20000010079</v>
      </c>
      <c r="B366" s="2" t="s">
        <v>3418</v>
      </c>
      <c r="C366" s="3" t="s">
        <v>3419</v>
      </c>
      <c r="D366" s="2" t="s">
        <v>3420</v>
      </c>
      <c r="F366" s="3" t="s">
        <v>557</v>
      </c>
      <c r="G366" s="2" t="s">
        <v>31</v>
      </c>
      <c r="H366" s="2" t="s">
        <v>32</v>
      </c>
      <c r="K366" s="2" t="s">
        <v>3421</v>
      </c>
      <c r="L366" s="3" t="s">
        <v>3422</v>
      </c>
      <c r="M366" s="2" t="s">
        <v>3423</v>
      </c>
      <c r="O366" s="2" t="s">
        <v>2881</v>
      </c>
      <c r="P366" s="2" t="s">
        <v>37</v>
      </c>
      <c r="T366" s="2" t="s">
        <v>76</v>
      </c>
      <c r="X366" s="2" t="n">
        <v>10079</v>
      </c>
      <c r="Y366" s="2" t="s">
        <v>3424</v>
      </c>
      <c r="Z366" s="3" t="s">
        <v>3425</v>
      </c>
    </row>
    <row r="367" customFormat="false" ht="13.8" hidden="false" customHeight="false" outlineLevel="0" collapsed="false">
      <c r="A367" s="0" t="str">
        <f aca="false">CONCATENATE("__import__.res_partner_",C367)</f>
        <v>__import__.res_partner_20000010081</v>
      </c>
      <c r="B367" s="2" t="s">
        <v>3426</v>
      </c>
      <c r="C367" s="3" t="s">
        <v>3427</v>
      </c>
      <c r="D367" s="2" t="s">
        <v>3428</v>
      </c>
      <c r="F367" s="2" t="s">
        <v>30</v>
      </c>
      <c r="G367" s="2" t="s">
        <v>31</v>
      </c>
      <c r="H367" s="2" t="s">
        <v>32</v>
      </c>
      <c r="K367" s="2" t="s">
        <v>3429</v>
      </c>
      <c r="L367" s="3" t="s">
        <v>198</v>
      </c>
      <c r="M367" s="2" t="s">
        <v>3430</v>
      </c>
      <c r="O367" s="2" t="s">
        <v>49</v>
      </c>
      <c r="P367" s="2" t="s">
        <v>37</v>
      </c>
      <c r="R367" s="2" t="s">
        <v>3431</v>
      </c>
      <c r="T367" s="2" t="s">
        <v>64</v>
      </c>
      <c r="X367" s="2" t="n">
        <v>10081</v>
      </c>
      <c r="Y367" s="2" t="s">
        <v>3432</v>
      </c>
      <c r="Z367" s="3" t="s">
        <v>3433</v>
      </c>
    </row>
    <row r="368" customFormat="false" ht="13.8" hidden="false" customHeight="false" outlineLevel="0" collapsed="false">
      <c r="A368" s="0" t="str">
        <f aca="false">CONCATENATE("__import__.res_partner_",C368)</f>
        <v>__import__.res_partner_20000010082</v>
      </c>
      <c r="B368" s="2" t="s">
        <v>3434</v>
      </c>
      <c r="C368" s="3" t="s">
        <v>3435</v>
      </c>
      <c r="D368" s="2" t="s">
        <v>3436</v>
      </c>
      <c r="F368" s="2" t="s">
        <v>30</v>
      </c>
      <c r="G368" s="2" t="s">
        <v>31</v>
      </c>
      <c r="H368" s="2" t="s">
        <v>32</v>
      </c>
      <c r="K368" s="2" t="s">
        <v>3437</v>
      </c>
      <c r="L368" s="3" t="s">
        <v>1737</v>
      </c>
      <c r="M368" s="2" t="s">
        <v>3438</v>
      </c>
      <c r="O368" s="2" t="s">
        <v>36</v>
      </c>
      <c r="P368" s="2" t="s">
        <v>37</v>
      </c>
      <c r="Q368" s="2" t="s">
        <v>166</v>
      </c>
      <c r="R368" s="2" t="s">
        <v>3439</v>
      </c>
      <c r="T368" s="2" t="s">
        <v>64</v>
      </c>
      <c r="X368" s="2" t="n">
        <v>10082</v>
      </c>
      <c r="Y368" s="2" t="s">
        <v>3440</v>
      </c>
      <c r="Z368" s="3" t="s">
        <v>3441</v>
      </c>
    </row>
    <row r="369" customFormat="false" ht="13.8" hidden="false" customHeight="false" outlineLevel="0" collapsed="false">
      <c r="A369" s="0" t="str">
        <f aca="false">CONCATENATE("__import__.res_partner_",C369)</f>
        <v>__import__.res_partner_20000010084</v>
      </c>
      <c r="B369" s="2" t="s">
        <v>3442</v>
      </c>
      <c r="C369" s="3" t="s">
        <v>3443</v>
      </c>
      <c r="D369" s="2" t="s">
        <v>3444</v>
      </c>
      <c r="F369" s="2" t="s">
        <v>30</v>
      </c>
      <c r="G369" s="2" t="s">
        <v>31</v>
      </c>
      <c r="H369" s="2" t="s">
        <v>32</v>
      </c>
      <c r="K369" s="2" t="s">
        <v>3445</v>
      </c>
      <c r="L369" s="3" t="s">
        <v>3446</v>
      </c>
      <c r="M369" s="2" t="s">
        <v>3447</v>
      </c>
      <c r="O369" s="2" t="s">
        <v>2037</v>
      </c>
      <c r="P369" s="2" t="s">
        <v>37</v>
      </c>
      <c r="R369" s="2" t="s">
        <v>3448</v>
      </c>
      <c r="T369" s="2" t="s">
        <v>108</v>
      </c>
      <c r="X369" s="2" t="n">
        <v>10084</v>
      </c>
      <c r="Y369" s="2" t="s">
        <v>3449</v>
      </c>
      <c r="Z369" s="3" t="s">
        <v>3450</v>
      </c>
      <c r="AA369" s="2" t="s">
        <v>3451</v>
      </c>
    </row>
    <row r="370" customFormat="false" ht="13.8" hidden="false" customHeight="false" outlineLevel="0" collapsed="false">
      <c r="A370" s="0" t="str">
        <f aca="false">CONCATENATE("__import__.res_partner_",C370)</f>
        <v>__import__.res_partner_20000010085</v>
      </c>
      <c r="B370" s="2" t="s">
        <v>3452</v>
      </c>
      <c r="C370" s="3" t="s">
        <v>3453</v>
      </c>
      <c r="D370" s="2" t="s">
        <v>3454</v>
      </c>
      <c r="F370" s="2" t="s">
        <v>30</v>
      </c>
      <c r="G370" s="2" t="s">
        <v>31</v>
      </c>
      <c r="H370" s="2" t="s">
        <v>32</v>
      </c>
      <c r="K370" s="2" t="s">
        <v>3455</v>
      </c>
      <c r="L370" s="3" t="s">
        <v>3456</v>
      </c>
      <c r="M370" s="2" t="s">
        <v>3457</v>
      </c>
      <c r="O370" s="2" t="s">
        <v>1206</v>
      </c>
      <c r="P370" s="2" t="s">
        <v>37</v>
      </c>
      <c r="Q370" s="2" t="s">
        <v>3458</v>
      </c>
      <c r="R370" s="2" t="s">
        <v>3459</v>
      </c>
      <c r="T370" s="2" t="s">
        <v>40</v>
      </c>
      <c r="X370" s="2" t="n">
        <v>10085</v>
      </c>
      <c r="Y370" s="2" t="s">
        <v>3454</v>
      </c>
      <c r="Z370" s="3" t="s">
        <v>3460</v>
      </c>
    </row>
    <row r="371" customFormat="false" ht="13.8" hidden="false" customHeight="false" outlineLevel="0" collapsed="false">
      <c r="A371" s="0" t="str">
        <f aca="false">CONCATENATE("__import__.res_partner_",C371)</f>
        <v>__import__.res_partner_20000010086</v>
      </c>
      <c r="B371" s="2" t="s">
        <v>3461</v>
      </c>
      <c r="C371" s="3" t="s">
        <v>3462</v>
      </c>
      <c r="D371" s="2" t="s">
        <v>3463</v>
      </c>
      <c r="F371" s="3" t="s">
        <v>557</v>
      </c>
      <c r="G371" s="2" t="s">
        <v>31</v>
      </c>
      <c r="H371" s="2" t="s">
        <v>32</v>
      </c>
      <c r="K371" s="2" t="s">
        <v>3464</v>
      </c>
      <c r="L371" s="3" t="s">
        <v>3465</v>
      </c>
      <c r="M371" s="2" t="s">
        <v>3466</v>
      </c>
      <c r="O371" s="2" t="s">
        <v>36</v>
      </c>
      <c r="P371" s="2" t="s">
        <v>37</v>
      </c>
      <c r="R371" s="2" t="s">
        <v>3467</v>
      </c>
      <c r="T371" s="2" t="s">
        <v>76</v>
      </c>
      <c r="X371" s="2" t="n">
        <v>10086</v>
      </c>
      <c r="Y371" s="2" t="s">
        <v>3468</v>
      </c>
      <c r="Z371" s="3" t="s">
        <v>3469</v>
      </c>
      <c r="AA371" s="2" t="s">
        <v>3470</v>
      </c>
    </row>
    <row r="372" customFormat="false" ht="13.8" hidden="false" customHeight="false" outlineLevel="0" collapsed="false">
      <c r="A372" s="0" t="str">
        <f aca="false">CONCATENATE("__import__.res_partner_",C372)</f>
        <v>__import__.res_partner_20000010087</v>
      </c>
      <c r="B372" s="2" t="s">
        <v>3471</v>
      </c>
      <c r="C372" s="3" t="s">
        <v>3472</v>
      </c>
      <c r="D372" s="2" t="s">
        <v>3473</v>
      </c>
      <c r="F372" s="2" t="s">
        <v>30</v>
      </c>
      <c r="G372" s="2" t="s">
        <v>31</v>
      </c>
      <c r="H372" s="2" t="s">
        <v>32</v>
      </c>
      <c r="K372" s="2" t="s">
        <v>3474</v>
      </c>
      <c r="L372" s="3" t="s">
        <v>3475</v>
      </c>
      <c r="M372" s="2" t="s">
        <v>3476</v>
      </c>
      <c r="O372" s="2" t="s">
        <v>3477</v>
      </c>
      <c r="P372" s="2" t="s">
        <v>37</v>
      </c>
      <c r="Q372" s="2" t="s">
        <v>38</v>
      </c>
      <c r="R372" s="3" t="s">
        <v>3478</v>
      </c>
      <c r="T372" s="2" t="s">
        <v>64</v>
      </c>
      <c r="X372" s="2" t="n">
        <v>10087</v>
      </c>
      <c r="Y372" s="2" t="s">
        <v>3479</v>
      </c>
      <c r="Z372" s="3" t="s">
        <v>3480</v>
      </c>
      <c r="AA372" s="2" t="s">
        <v>3481</v>
      </c>
    </row>
    <row r="373" customFormat="false" ht="13.8" hidden="false" customHeight="false" outlineLevel="0" collapsed="false">
      <c r="A373" s="0" t="str">
        <f aca="false">CONCATENATE("__import__.res_partner_",C373)</f>
        <v>__import__.res_partner_20000010089</v>
      </c>
      <c r="B373" s="2" t="s">
        <v>3482</v>
      </c>
      <c r="C373" s="3" t="s">
        <v>3483</v>
      </c>
      <c r="D373" s="2" t="s">
        <v>3484</v>
      </c>
      <c r="F373" s="2" t="s">
        <v>30</v>
      </c>
      <c r="G373" s="2" t="s">
        <v>31</v>
      </c>
      <c r="H373" s="2" t="s">
        <v>32</v>
      </c>
      <c r="K373" s="2" t="s">
        <v>3485</v>
      </c>
      <c r="L373" s="3" t="s">
        <v>3343</v>
      </c>
      <c r="M373" s="2" t="s">
        <v>3486</v>
      </c>
      <c r="O373" s="2" t="s">
        <v>2754</v>
      </c>
      <c r="P373" s="2" t="s">
        <v>37</v>
      </c>
      <c r="Q373" s="2" t="s">
        <v>3487</v>
      </c>
      <c r="R373" s="2" t="s">
        <v>3488</v>
      </c>
      <c r="T373" s="2" t="s">
        <v>76</v>
      </c>
      <c r="X373" s="2" t="n">
        <v>10089</v>
      </c>
      <c r="Y373" s="2" t="s">
        <v>3489</v>
      </c>
      <c r="Z373" s="3" t="s">
        <v>3490</v>
      </c>
    </row>
    <row r="374" customFormat="false" ht="13.8" hidden="false" customHeight="false" outlineLevel="0" collapsed="false">
      <c r="A374" s="0" t="str">
        <f aca="false">CONCATENATE("__import__.res_partner_",C374)</f>
        <v>__import__.res_partner_20000010091</v>
      </c>
      <c r="B374" s="2" t="s">
        <v>3491</v>
      </c>
      <c r="C374" s="3" t="s">
        <v>3492</v>
      </c>
      <c r="D374" s="2" t="s">
        <v>3493</v>
      </c>
      <c r="F374" s="2" t="s">
        <v>30</v>
      </c>
      <c r="G374" s="2" t="s">
        <v>31</v>
      </c>
      <c r="H374" s="2" t="s">
        <v>32</v>
      </c>
      <c r="K374" s="2" t="s">
        <v>3494</v>
      </c>
      <c r="L374" s="3" t="s">
        <v>3495</v>
      </c>
      <c r="M374" s="2" t="s">
        <v>3496</v>
      </c>
      <c r="O374" s="2" t="s">
        <v>3497</v>
      </c>
      <c r="P374" s="2" t="s">
        <v>37</v>
      </c>
      <c r="Q374" s="2" t="s">
        <v>166</v>
      </c>
      <c r="R374" s="2" t="s">
        <v>3498</v>
      </c>
      <c r="T374" s="2" t="s">
        <v>64</v>
      </c>
      <c r="X374" s="2" t="n">
        <v>10091</v>
      </c>
      <c r="Y374" s="2" t="s">
        <v>3499</v>
      </c>
      <c r="Z374" s="3" t="s">
        <v>3500</v>
      </c>
    </row>
    <row r="375" customFormat="false" ht="13.8" hidden="false" customHeight="false" outlineLevel="0" collapsed="false">
      <c r="A375" s="0" t="str">
        <f aca="false">CONCATENATE("__import__.res_partner_",C375)</f>
        <v>__import__.res_partner_20000010092</v>
      </c>
      <c r="B375" s="2" t="s">
        <v>3501</v>
      </c>
      <c r="C375" s="3" t="s">
        <v>3502</v>
      </c>
      <c r="D375" s="2" t="s">
        <v>3503</v>
      </c>
      <c r="F375" s="2" t="s">
        <v>30</v>
      </c>
      <c r="G375" s="2" t="s">
        <v>31</v>
      </c>
      <c r="H375" s="2" t="s">
        <v>32</v>
      </c>
      <c r="K375" s="2" t="s">
        <v>3504</v>
      </c>
      <c r="L375" s="3" t="s">
        <v>985</v>
      </c>
      <c r="M375" s="2" t="s">
        <v>3505</v>
      </c>
      <c r="O375" s="2" t="s">
        <v>49</v>
      </c>
      <c r="P375" s="2" t="s">
        <v>37</v>
      </c>
      <c r="Q375" s="2" t="s">
        <v>3506</v>
      </c>
      <c r="R375" s="2" t="s">
        <v>3507</v>
      </c>
      <c r="T375" s="2" t="s">
        <v>697</v>
      </c>
      <c r="V375" s="2" t="s">
        <v>3508</v>
      </c>
      <c r="X375" s="2" t="n">
        <v>10092</v>
      </c>
      <c r="Y375" s="2" t="s">
        <v>3503</v>
      </c>
      <c r="Z375" s="3" t="s">
        <v>3509</v>
      </c>
    </row>
    <row r="376" customFormat="false" ht="13.8" hidden="false" customHeight="false" outlineLevel="0" collapsed="false">
      <c r="A376" s="0" t="str">
        <f aca="false">CONCATENATE("__import__.res_partner_",C376)</f>
        <v>__import__.res_partner_20000010093</v>
      </c>
      <c r="B376" s="2" t="s">
        <v>3510</v>
      </c>
      <c r="C376" s="3" t="s">
        <v>3511</v>
      </c>
      <c r="D376" s="2" t="s">
        <v>3512</v>
      </c>
      <c r="F376" s="2" t="s">
        <v>30</v>
      </c>
      <c r="G376" s="2" t="s">
        <v>31</v>
      </c>
      <c r="H376" s="2" t="s">
        <v>32</v>
      </c>
      <c r="K376" s="2" t="s">
        <v>3513</v>
      </c>
      <c r="L376" s="3" t="s">
        <v>3475</v>
      </c>
      <c r="M376" s="2" t="s">
        <v>3514</v>
      </c>
      <c r="O376" s="2" t="s">
        <v>3477</v>
      </c>
      <c r="P376" s="2" t="s">
        <v>37</v>
      </c>
      <c r="Q376" s="2" t="s">
        <v>3515</v>
      </c>
      <c r="R376" s="2" t="s">
        <v>3516</v>
      </c>
      <c r="T376" s="2" t="s">
        <v>64</v>
      </c>
      <c r="X376" s="2" t="n">
        <v>10093</v>
      </c>
      <c r="Y376" s="2" t="s">
        <v>3517</v>
      </c>
      <c r="Z376" s="3" t="s">
        <v>3518</v>
      </c>
    </row>
    <row r="377" customFormat="false" ht="13.8" hidden="false" customHeight="false" outlineLevel="0" collapsed="false">
      <c r="A377" s="0" t="str">
        <f aca="false">CONCATENATE("__import__.res_partner_",C377)</f>
        <v>__import__.res_partner_20000010094</v>
      </c>
      <c r="B377" s="2" t="s">
        <v>3519</v>
      </c>
      <c r="C377" s="3" t="s">
        <v>3520</v>
      </c>
      <c r="D377" s="2" t="s">
        <v>3521</v>
      </c>
      <c r="F377" s="2" t="s">
        <v>30</v>
      </c>
      <c r="G377" s="2" t="s">
        <v>31</v>
      </c>
      <c r="H377" s="2" t="s">
        <v>32</v>
      </c>
      <c r="K377" s="2" t="s">
        <v>3522</v>
      </c>
      <c r="L377" s="3" t="s">
        <v>1791</v>
      </c>
      <c r="M377" s="2" t="s">
        <v>3523</v>
      </c>
      <c r="O377" s="2" t="s">
        <v>1793</v>
      </c>
      <c r="P377" s="2" t="s">
        <v>37</v>
      </c>
      <c r="Q377" s="2" t="s">
        <v>3524</v>
      </c>
      <c r="R377" s="2" t="s">
        <v>3525</v>
      </c>
      <c r="T377" s="2" t="s">
        <v>64</v>
      </c>
      <c r="X377" s="2" t="n">
        <v>10094</v>
      </c>
      <c r="Y377" s="2" t="s">
        <v>3521</v>
      </c>
      <c r="Z377" s="3" t="s">
        <v>3526</v>
      </c>
      <c r="AA377" s="2" t="s">
        <v>3527</v>
      </c>
    </row>
    <row r="378" customFormat="false" ht="13.8" hidden="false" customHeight="false" outlineLevel="0" collapsed="false">
      <c r="A378" s="0" t="str">
        <f aca="false">CONCATENATE("__import__.res_partner_",C378)</f>
        <v>__import__.res_partner_20000010095</v>
      </c>
      <c r="B378" s="2" t="s">
        <v>3528</v>
      </c>
      <c r="C378" s="3" t="s">
        <v>3529</v>
      </c>
      <c r="D378" s="2" t="s">
        <v>3530</v>
      </c>
      <c r="F378" s="2" t="s">
        <v>30</v>
      </c>
      <c r="G378" s="2" t="s">
        <v>31</v>
      </c>
      <c r="H378" s="2" t="s">
        <v>32</v>
      </c>
      <c r="K378" s="2" t="s">
        <v>3531</v>
      </c>
      <c r="L378" s="3" t="s">
        <v>3532</v>
      </c>
      <c r="M378" s="2" t="s">
        <v>3533</v>
      </c>
      <c r="O378" s="2" t="s">
        <v>165</v>
      </c>
      <c r="P378" s="2" t="s">
        <v>37</v>
      </c>
      <c r="R378" s="2" t="s">
        <v>3534</v>
      </c>
      <c r="T378" s="2" t="s">
        <v>40</v>
      </c>
      <c r="X378" s="2" t="n">
        <v>10095</v>
      </c>
      <c r="Y378" s="2" t="s">
        <v>3535</v>
      </c>
      <c r="Z378" s="3" t="s">
        <v>3536</v>
      </c>
      <c r="AA378" s="2" t="s">
        <v>3537</v>
      </c>
    </row>
    <row r="379" customFormat="false" ht="13.8" hidden="false" customHeight="false" outlineLevel="0" collapsed="false">
      <c r="A379" s="0" t="str">
        <f aca="false">CONCATENATE("__import__.res_partner_",C379)</f>
        <v>__import__.res_partner_20000010096</v>
      </c>
      <c r="B379" s="2" t="s">
        <v>3538</v>
      </c>
      <c r="C379" s="3" t="s">
        <v>3539</v>
      </c>
      <c r="D379" s="2" t="s">
        <v>3540</v>
      </c>
      <c r="F379" s="2" t="s">
        <v>30</v>
      </c>
      <c r="G379" s="2" t="s">
        <v>31</v>
      </c>
      <c r="H379" s="2" t="s">
        <v>32</v>
      </c>
      <c r="K379" s="2" t="s">
        <v>1091</v>
      </c>
      <c r="L379" s="3" t="s">
        <v>539</v>
      </c>
      <c r="M379" s="2" t="s">
        <v>3541</v>
      </c>
      <c r="O379" s="2" t="s">
        <v>3542</v>
      </c>
      <c r="P379" s="2" t="s">
        <v>37</v>
      </c>
      <c r="Q379" s="2" t="s">
        <v>3543</v>
      </c>
      <c r="T379" s="2" t="s">
        <v>64</v>
      </c>
      <c r="X379" s="2" t="n">
        <v>10096</v>
      </c>
      <c r="Y379" s="2" t="s">
        <v>3540</v>
      </c>
      <c r="Z379" s="3" t="s">
        <v>3544</v>
      </c>
    </row>
    <row r="380" customFormat="false" ht="13.8" hidden="false" customHeight="false" outlineLevel="0" collapsed="false">
      <c r="A380" s="0" t="str">
        <f aca="false">CONCATENATE("__import__.res_partner_",C380)</f>
        <v>__import__.res_partner_20000010097</v>
      </c>
      <c r="B380" s="2" t="s">
        <v>3545</v>
      </c>
      <c r="C380" s="3" t="s">
        <v>3546</v>
      </c>
      <c r="D380" s="2" t="s">
        <v>3547</v>
      </c>
      <c r="F380" s="2" t="s">
        <v>30</v>
      </c>
      <c r="G380" s="2" t="s">
        <v>31</v>
      </c>
      <c r="H380" s="2" t="s">
        <v>32</v>
      </c>
      <c r="K380" s="2" t="s">
        <v>3548</v>
      </c>
      <c r="L380" s="3" t="s">
        <v>3549</v>
      </c>
      <c r="M380" s="2" t="s">
        <v>3550</v>
      </c>
      <c r="O380" s="2" t="s">
        <v>3551</v>
      </c>
      <c r="P380" s="2" t="s">
        <v>37</v>
      </c>
      <c r="T380" s="2" t="s">
        <v>64</v>
      </c>
      <c r="X380" s="2" t="n">
        <v>10097</v>
      </c>
      <c r="Y380" s="2" t="s">
        <v>3547</v>
      </c>
      <c r="Z380" s="3" t="s">
        <v>3552</v>
      </c>
    </row>
    <row r="381" customFormat="false" ht="13.8" hidden="false" customHeight="false" outlineLevel="0" collapsed="false">
      <c r="A381" s="0" t="str">
        <f aca="false">CONCATENATE("__import__.res_partner_",C381)</f>
        <v>__import__.res_partner_20000010098</v>
      </c>
      <c r="B381" s="2" t="s">
        <v>3553</v>
      </c>
      <c r="C381" s="3" t="s">
        <v>3554</v>
      </c>
      <c r="D381" s="2" t="s">
        <v>3555</v>
      </c>
      <c r="F381" s="2" t="s">
        <v>30</v>
      </c>
      <c r="G381" s="2" t="s">
        <v>31</v>
      </c>
      <c r="H381" s="2" t="s">
        <v>32</v>
      </c>
      <c r="K381" s="2" t="s">
        <v>3556</v>
      </c>
      <c r="L381" s="3" t="s">
        <v>1637</v>
      </c>
      <c r="M381" s="2" t="s">
        <v>3557</v>
      </c>
      <c r="O381" s="2" t="s">
        <v>261</v>
      </c>
      <c r="P381" s="2" t="s">
        <v>37</v>
      </c>
      <c r="Q381" s="2" t="s">
        <v>3558</v>
      </c>
      <c r="R381" s="2" t="s">
        <v>3559</v>
      </c>
      <c r="T381" s="2" t="s">
        <v>108</v>
      </c>
      <c r="V381" s="2" t="s">
        <v>3560</v>
      </c>
      <c r="W381" s="2" t="s">
        <v>3561</v>
      </c>
      <c r="X381" s="2" t="n">
        <v>10098</v>
      </c>
      <c r="Y381" s="2" t="s">
        <v>3562</v>
      </c>
      <c r="Z381" s="3" t="s">
        <v>3563</v>
      </c>
    </row>
    <row r="382" customFormat="false" ht="13.8" hidden="false" customHeight="false" outlineLevel="0" collapsed="false">
      <c r="A382" s="0" t="str">
        <f aca="false">CONCATENATE("__import__.res_partner_",C382)</f>
        <v>__import__.res_partner_20000010099</v>
      </c>
      <c r="B382" s="2" t="s">
        <v>3564</v>
      </c>
      <c r="C382" s="3" t="s">
        <v>3565</v>
      </c>
      <c r="D382" s="2" t="s">
        <v>3566</v>
      </c>
      <c r="F382" s="2" t="s">
        <v>30</v>
      </c>
      <c r="G382" s="2" t="s">
        <v>31</v>
      </c>
      <c r="H382" s="2" t="s">
        <v>32</v>
      </c>
      <c r="K382" s="2" t="s">
        <v>3567</v>
      </c>
      <c r="L382" s="3" t="s">
        <v>3568</v>
      </c>
      <c r="M382" s="2" t="s">
        <v>3569</v>
      </c>
      <c r="O382" s="2" t="s">
        <v>3570</v>
      </c>
      <c r="P382" s="2" t="s">
        <v>37</v>
      </c>
      <c r="R382" s="2" t="s">
        <v>3571</v>
      </c>
      <c r="T382" s="2" t="s">
        <v>76</v>
      </c>
      <c r="X382" s="2" t="n">
        <v>10099</v>
      </c>
      <c r="Y382" s="2" t="s">
        <v>3566</v>
      </c>
      <c r="Z382" s="3" t="s">
        <v>3572</v>
      </c>
    </row>
    <row r="383" customFormat="false" ht="13.8" hidden="false" customHeight="false" outlineLevel="0" collapsed="false">
      <c r="A383" s="0" t="str">
        <f aca="false">CONCATENATE("__import__.res_partner_",C383)</f>
        <v>__import__.res_partner_20000010100</v>
      </c>
      <c r="B383" s="2" t="s">
        <v>3573</v>
      </c>
      <c r="C383" s="3" t="s">
        <v>3574</v>
      </c>
      <c r="D383" s="2" t="s">
        <v>3575</v>
      </c>
      <c r="F383" s="3" t="s">
        <v>557</v>
      </c>
      <c r="G383" s="2" t="s">
        <v>31</v>
      </c>
      <c r="H383" s="2" t="s">
        <v>32</v>
      </c>
      <c r="K383" s="2" t="s">
        <v>3576</v>
      </c>
      <c r="L383" s="3" t="s">
        <v>3577</v>
      </c>
      <c r="M383" s="2" t="s">
        <v>3578</v>
      </c>
      <c r="O383" s="2" t="s">
        <v>395</v>
      </c>
      <c r="P383" s="2" t="s">
        <v>37</v>
      </c>
      <c r="Q383" s="2" t="s">
        <v>232</v>
      </c>
      <c r="R383" s="2" t="s">
        <v>3579</v>
      </c>
      <c r="T383" s="2" t="s">
        <v>97</v>
      </c>
      <c r="X383" s="2" t="n">
        <v>10100</v>
      </c>
      <c r="Y383" s="2" t="s">
        <v>3580</v>
      </c>
      <c r="Z383" s="3" t="s">
        <v>3581</v>
      </c>
    </row>
    <row r="384" customFormat="false" ht="13.8" hidden="false" customHeight="false" outlineLevel="0" collapsed="false">
      <c r="A384" s="0" t="str">
        <f aca="false">CONCATENATE("__import__.res_partner_",C384)</f>
        <v>__import__.res_partner_20000010101</v>
      </c>
      <c r="B384" s="2" t="s">
        <v>3582</v>
      </c>
      <c r="C384" s="3" t="s">
        <v>3583</v>
      </c>
      <c r="D384" s="2" t="s">
        <v>3584</v>
      </c>
      <c r="F384" s="2" t="s">
        <v>30</v>
      </c>
      <c r="G384" s="2" t="s">
        <v>31</v>
      </c>
      <c r="H384" s="2" t="s">
        <v>32</v>
      </c>
      <c r="K384" s="2" t="s">
        <v>3585</v>
      </c>
      <c r="L384" s="3" t="s">
        <v>3586</v>
      </c>
      <c r="M384" s="2" t="s">
        <v>3587</v>
      </c>
      <c r="O384" s="2" t="s">
        <v>3588</v>
      </c>
      <c r="P384" s="2" t="s">
        <v>37</v>
      </c>
      <c r="Q384" s="2" t="s">
        <v>3589</v>
      </c>
      <c r="R384" s="2" t="s">
        <v>3590</v>
      </c>
      <c r="T384" s="2" t="s">
        <v>64</v>
      </c>
      <c r="X384" s="2" t="n">
        <v>10101</v>
      </c>
      <c r="Y384" s="2" t="s">
        <v>3591</v>
      </c>
      <c r="Z384" s="3" t="s">
        <v>3592</v>
      </c>
    </row>
    <row r="385" customFormat="false" ht="13.8" hidden="false" customHeight="false" outlineLevel="0" collapsed="false">
      <c r="A385" s="0" t="str">
        <f aca="false">CONCATENATE("__import__.res_partner_",C385)</f>
        <v>__import__.res_partner_20000010102</v>
      </c>
      <c r="B385" s="2" t="s">
        <v>3593</v>
      </c>
      <c r="C385" s="3" t="s">
        <v>3594</v>
      </c>
      <c r="D385" s="2" t="s">
        <v>3595</v>
      </c>
      <c r="F385" s="2" t="s">
        <v>30</v>
      </c>
      <c r="G385" s="2" t="s">
        <v>31</v>
      </c>
      <c r="H385" s="2" t="s">
        <v>32</v>
      </c>
      <c r="K385" s="2" t="s">
        <v>3596</v>
      </c>
      <c r="L385" s="3" t="s">
        <v>3323</v>
      </c>
      <c r="M385" s="2" t="s">
        <v>3324</v>
      </c>
      <c r="O385" s="2" t="s">
        <v>3325</v>
      </c>
      <c r="P385" s="2" t="s">
        <v>37</v>
      </c>
      <c r="Q385" s="2" t="s">
        <v>3597</v>
      </c>
      <c r="R385" s="2" t="s">
        <v>3327</v>
      </c>
      <c r="T385" s="2" t="s">
        <v>64</v>
      </c>
      <c r="X385" s="2" t="n">
        <v>10102</v>
      </c>
      <c r="Y385" s="2" t="s">
        <v>3598</v>
      </c>
      <c r="Z385" s="3" t="s">
        <v>3599</v>
      </c>
    </row>
    <row r="386" customFormat="false" ht="13.8" hidden="false" customHeight="false" outlineLevel="0" collapsed="false">
      <c r="A386" s="0" t="str">
        <f aca="false">CONCATENATE("__import__.res_partner_",C386)</f>
        <v>__import__.res_partner_20000010103</v>
      </c>
      <c r="B386" s="2" t="s">
        <v>3600</v>
      </c>
      <c r="C386" s="3" t="s">
        <v>3601</v>
      </c>
      <c r="D386" s="2" t="s">
        <v>3602</v>
      </c>
      <c r="F386" s="2" t="s">
        <v>30</v>
      </c>
      <c r="G386" s="2" t="s">
        <v>31</v>
      </c>
      <c r="H386" s="2" t="s">
        <v>32</v>
      </c>
      <c r="K386" s="2" t="s">
        <v>3603</v>
      </c>
      <c r="M386" s="2" t="s">
        <v>3604</v>
      </c>
      <c r="O386" s="2" t="s">
        <v>3605</v>
      </c>
      <c r="P386" s="2" t="s">
        <v>37</v>
      </c>
      <c r="Q386" s="2" t="s">
        <v>3606</v>
      </c>
      <c r="R386" s="2" t="s">
        <v>3607</v>
      </c>
      <c r="T386" s="2" t="s">
        <v>64</v>
      </c>
      <c r="X386" s="2" t="n">
        <v>10103</v>
      </c>
      <c r="Y386" s="2" t="s">
        <v>3602</v>
      </c>
      <c r="Z386" s="3" t="s">
        <v>3608</v>
      </c>
      <c r="AA386" s="2" t="s">
        <v>3609</v>
      </c>
    </row>
    <row r="387" customFormat="false" ht="13.8" hidden="false" customHeight="false" outlineLevel="0" collapsed="false">
      <c r="A387" s="0" t="str">
        <f aca="false">CONCATENATE("__import__.res_partner_",C387)</f>
        <v>__import__.res_partner_20000010104</v>
      </c>
      <c r="B387" s="2" t="s">
        <v>3610</v>
      </c>
      <c r="C387" s="3" t="s">
        <v>3611</v>
      </c>
      <c r="D387" s="2" t="s">
        <v>3612</v>
      </c>
      <c r="F387" s="2" t="s">
        <v>30</v>
      </c>
      <c r="G387" s="2" t="s">
        <v>31</v>
      </c>
      <c r="H387" s="2" t="s">
        <v>32</v>
      </c>
      <c r="K387" s="2" t="s">
        <v>3613</v>
      </c>
      <c r="L387" s="3" t="s">
        <v>3614</v>
      </c>
      <c r="M387" s="2" t="s">
        <v>3615</v>
      </c>
      <c r="O387" s="2" t="s">
        <v>3616</v>
      </c>
      <c r="P387" s="2" t="s">
        <v>37</v>
      </c>
      <c r="Q387" s="2" t="s">
        <v>3617</v>
      </c>
      <c r="R387" s="2" t="s">
        <v>3618</v>
      </c>
      <c r="T387" s="2" t="s">
        <v>97</v>
      </c>
      <c r="X387" s="2" t="n">
        <v>10104</v>
      </c>
      <c r="Y387" s="2" t="s">
        <v>3612</v>
      </c>
      <c r="Z387" s="3" t="s">
        <v>3619</v>
      </c>
      <c r="AA387" s="2" t="s">
        <v>3620</v>
      </c>
    </row>
    <row r="388" customFormat="false" ht="13.8" hidden="false" customHeight="false" outlineLevel="0" collapsed="false">
      <c r="A388" s="0" t="str">
        <f aca="false">CONCATENATE("__import__.res_partner_",C388)</f>
        <v>__import__.res_partner_20000010105</v>
      </c>
      <c r="B388" s="2" t="s">
        <v>3621</v>
      </c>
      <c r="C388" s="3" t="s">
        <v>3622</v>
      </c>
      <c r="D388" s="2" t="s">
        <v>3623</v>
      </c>
      <c r="F388" s="2" t="s">
        <v>30</v>
      </c>
      <c r="G388" s="2" t="s">
        <v>31</v>
      </c>
      <c r="H388" s="2" t="s">
        <v>32</v>
      </c>
      <c r="K388" s="2" t="s">
        <v>3624</v>
      </c>
      <c r="L388" s="3" t="s">
        <v>3625</v>
      </c>
      <c r="M388" s="2" t="s">
        <v>3626</v>
      </c>
      <c r="O388" s="2" t="s">
        <v>1227</v>
      </c>
      <c r="P388" s="2" t="s">
        <v>37</v>
      </c>
      <c r="Q388" s="2" t="s">
        <v>3627</v>
      </c>
      <c r="R388" s="2" t="s">
        <v>3628</v>
      </c>
      <c r="T388" s="2" t="s">
        <v>97</v>
      </c>
      <c r="X388" s="2" t="n">
        <v>10105</v>
      </c>
      <c r="Y388" s="2" t="s">
        <v>3623</v>
      </c>
      <c r="Z388" s="3" t="s">
        <v>3629</v>
      </c>
    </row>
    <row r="389" customFormat="false" ht="13.8" hidden="false" customHeight="false" outlineLevel="0" collapsed="false">
      <c r="A389" s="0" t="str">
        <f aca="false">CONCATENATE("__import__.res_partner_",C389)</f>
        <v>__import__.res_partner_20000010106</v>
      </c>
      <c r="B389" s="2" t="s">
        <v>3630</v>
      </c>
      <c r="C389" s="3" t="s">
        <v>3631</v>
      </c>
      <c r="D389" s="2" t="s">
        <v>3632</v>
      </c>
      <c r="F389" s="2" t="s">
        <v>30</v>
      </c>
      <c r="G389" s="2" t="s">
        <v>31</v>
      </c>
      <c r="H389" s="2" t="s">
        <v>32</v>
      </c>
      <c r="K389" s="2" t="s">
        <v>3633</v>
      </c>
      <c r="L389" s="3" t="s">
        <v>2890</v>
      </c>
      <c r="M389" s="2" t="s">
        <v>3634</v>
      </c>
      <c r="O389" s="2" t="s">
        <v>2754</v>
      </c>
      <c r="P389" s="2" t="s">
        <v>37</v>
      </c>
      <c r="Q389" s="2" t="s">
        <v>3635</v>
      </c>
      <c r="R389" s="2" t="s">
        <v>3636</v>
      </c>
      <c r="T389" s="2" t="s">
        <v>697</v>
      </c>
      <c r="X389" s="2" t="n">
        <v>10106</v>
      </c>
      <c r="Y389" s="2" t="s">
        <v>3637</v>
      </c>
      <c r="Z389" s="3" t="s">
        <v>3638</v>
      </c>
    </row>
    <row r="390" customFormat="false" ht="13.8" hidden="false" customHeight="false" outlineLevel="0" collapsed="false">
      <c r="A390" s="0" t="str">
        <f aca="false">CONCATENATE("__import__.res_partner_",C390)</f>
        <v>__import__.res_partner_20000010108</v>
      </c>
      <c r="B390" s="2" t="s">
        <v>3639</v>
      </c>
      <c r="C390" s="3" t="s">
        <v>3640</v>
      </c>
      <c r="D390" s="2" t="s">
        <v>3641</v>
      </c>
      <c r="F390" s="2" t="s">
        <v>30</v>
      </c>
      <c r="G390" s="2" t="s">
        <v>31</v>
      </c>
      <c r="H390" s="2" t="s">
        <v>32</v>
      </c>
      <c r="K390" s="2" t="s">
        <v>3642</v>
      </c>
      <c r="L390" s="3" t="s">
        <v>3643</v>
      </c>
      <c r="M390" s="2" t="s">
        <v>3644</v>
      </c>
      <c r="O390" s="2" t="s">
        <v>3645</v>
      </c>
      <c r="P390" s="2" t="s">
        <v>37</v>
      </c>
      <c r="Q390" s="2" t="s">
        <v>3646</v>
      </c>
      <c r="R390" s="2" t="s">
        <v>3647</v>
      </c>
      <c r="T390" s="2" t="s">
        <v>108</v>
      </c>
      <c r="X390" s="2" t="n">
        <v>10108</v>
      </c>
      <c r="Y390" s="2" t="s">
        <v>3641</v>
      </c>
      <c r="Z390" s="3" t="s">
        <v>3648</v>
      </c>
    </row>
    <row r="391" customFormat="false" ht="13.8" hidden="false" customHeight="false" outlineLevel="0" collapsed="false">
      <c r="A391" s="0" t="str">
        <f aca="false">CONCATENATE("__import__.res_partner_",C391)</f>
        <v>__import__.res_partner_20000010109</v>
      </c>
      <c r="B391" s="2" t="s">
        <v>3649</v>
      </c>
      <c r="C391" s="3" t="s">
        <v>3650</v>
      </c>
      <c r="D391" s="2" t="s">
        <v>3651</v>
      </c>
      <c r="F391" s="2" t="s">
        <v>30</v>
      </c>
      <c r="G391" s="2" t="s">
        <v>31</v>
      </c>
      <c r="H391" s="2" t="s">
        <v>32</v>
      </c>
      <c r="K391" s="2" t="s">
        <v>3652</v>
      </c>
      <c r="L391" s="3" t="s">
        <v>3653</v>
      </c>
      <c r="M391" s="2" t="s">
        <v>3654</v>
      </c>
      <c r="O391" s="2" t="s">
        <v>3655</v>
      </c>
      <c r="P391" s="2" t="s">
        <v>37</v>
      </c>
      <c r="R391" s="2" t="s">
        <v>3656</v>
      </c>
      <c r="T391" s="2" t="s">
        <v>76</v>
      </c>
      <c r="X391" s="2" t="n">
        <v>10109</v>
      </c>
      <c r="Y391" s="2" t="s">
        <v>3651</v>
      </c>
      <c r="Z391" s="3" t="s">
        <v>3657</v>
      </c>
    </row>
    <row r="392" customFormat="false" ht="13.8" hidden="false" customHeight="false" outlineLevel="0" collapsed="false">
      <c r="A392" s="0" t="str">
        <f aca="false">CONCATENATE("__import__.res_partner_",C392)</f>
        <v>__import__.res_partner_20000010110</v>
      </c>
      <c r="B392" s="2" t="s">
        <v>3658</v>
      </c>
      <c r="C392" s="3" t="s">
        <v>3659</v>
      </c>
      <c r="D392" s="2" t="s">
        <v>3660</v>
      </c>
      <c r="F392" s="2" t="s">
        <v>30</v>
      </c>
      <c r="G392" s="2" t="s">
        <v>31</v>
      </c>
      <c r="H392" s="2" t="s">
        <v>32</v>
      </c>
      <c r="K392" s="2" t="s">
        <v>3661</v>
      </c>
      <c r="L392" s="3" t="s">
        <v>3662</v>
      </c>
      <c r="M392" s="2" t="s">
        <v>3663</v>
      </c>
      <c r="O392" s="2" t="s">
        <v>3664</v>
      </c>
      <c r="P392" s="2" t="s">
        <v>37</v>
      </c>
      <c r="Q392" s="2" t="s">
        <v>3665</v>
      </c>
      <c r="R392" s="2" t="s">
        <v>3666</v>
      </c>
      <c r="T392" s="2" t="s">
        <v>76</v>
      </c>
      <c r="X392" s="2" t="n">
        <v>10110</v>
      </c>
      <c r="Y392" s="2" t="s">
        <v>3660</v>
      </c>
      <c r="Z392" s="3" t="s">
        <v>3667</v>
      </c>
    </row>
    <row r="393" customFormat="false" ht="13.8" hidden="false" customHeight="false" outlineLevel="0" collapsed="false">
      <c r="A393" s="0" t="str">
        <f aca="false">CONCATENATE("__import__.res_partner_",C393)</f>
        <v>__import__.res_partner_20000010112</v>
      </c>
      <c r="B393" s="2" t="s">
        <v>3668</v>
      </c>
      <c r="C393" s="3" t="s">
        <v>3669</v>
      </c>
      <c r="D393" s="2" t="s">
        <v>3670</v>
      </c>
      <c r="F393" s="2" t="s">
        <v>30</v>
      </c>
      <c r="G393" s="2" t="s">
        <v>31</v>
      </c>
      <c r="H393" s="2" t="s">
        <v>32</v>
      </c>
      <c r="K393" s="2" t="s">
        <v>3671</v>
      </c>
      <c r="L393" s="3" t="s">
        <v>3672</v>
      </c>
      <c r="M393" s="2" t="s">
        <v>3673</v>
      </c>
      <c r="O393" s="2" t="s">
        <v>3674</v>
      </c>
      <c r="P393" s="2" t="s">
        <v>37</v>
      </c>
      <c r="T393" s="2" t="s">
        <v>697</v>
      </c>
      <c r="X393" s="2" t="n">
        <v>10112</v>
      </c>
      <c r="Y393" s="2" t="s">
        <v>3670</v>
      </c>
      <c r="Z393" s="3" t="s">
        <v>3675</v>
      </c>
    </row>
    <row r="394" customFormat="false" ht="13.8" hidden="false" customHeight="false" outlineLevel="0" collapsed="false">
      <c r="A394" s="0" t="str">
        <f aca="false">CONCATENATE("__import__.res_partner_",C394)</f>
        <v>__import__.res_partner_20000010113</v>
      </c>
      <c r="B394" s="2" t="s">
        <v>3676</v>
      </c>
      <c r="C394" s="3" t="s">
        <v>3677</v>
      </c>
      <c r="D394" s="2" t="s">
        <v>3678</v>
      </c>
      <c r="F394" s="2" t="s">
        <v>30</v>
      </c>
      <c r="G394" s="2" t="s">
        <v>31</v>
      </c>
      <c r="H394" s="2" t="s">
        <v>32</v>
      </c>
      <c r="K394" s="2" t="s">
        <v>3679</v>
      </c>
      <c r="L394" s="3" t="s">
        <v>3680</v>
      </c>
      <c r="M394" s="2" t="s">
        <v>3681</v>
      </c>
      <c r="O394" s="2" t="s">
        <v>1227</v>
      </c>
      <c r="P394" s="2" t="s">
        <v>37</v>
      </c>
      <c r="R394" s="3" t="s">
        <v>3682</v>
      </c>
      <c r="T394" s="2" t="s">
        <v>76</v>
      </c>
      <c r="X394" s="2" t="n">
        <v>10113</v>
      </c>
      <c r="Y394" s="2" t="s">
        <v>3678</v>
      </c>
      <c r="Z394" s="3" t="s">
        <v>3683</v>
      </c>
    </row>
    <row r="395" customFormat="false" ht="13.8" hidden="false" customHeight="false" outlineLevel="0" collapsed="false">
      <c r="A395" s="0" t="str">
        <f aca="false">CONCATENATE("__import__.res_partner_",C395)</f>
        <v>__import__.res_partner_20000010114</v>
      </c>
      <c r="B395" s="2" t="s">
        <v>3684</v>
      </c>
      <c r="C395" s="3" t="s">
        <v>3685</v>
      </c>
      <c r="D395" s="2" t="s">
        <v>3686</v>
      </c>
      <c r="F395" s="2" t="s">
        <v>30</v>
      </c>
      <c r="G395" s="2" t="s">
        <v>31</v>
      </c>
      <c r="H395" s="2" t="s">
        <v>32</v>
      </c>
      <c r="K395" s="2" t="s">
        <v>3687</v>
      </c>
      <c r="L395" s="3" t="s">
        <v>2763</v>
      </c>
      <c r="M395" s="2" t="s">
        <v>3688</v>
      </c>
      <c r="O395" s="2" t="s">
        <v>3689</v>
      </c>
      <c r="P395" s="2" t="s">
        <v>37</v>
      </c>
      <c r="Q395" s="2" t="s">
        <v>3690</v>
      </c>
      <c r="R395" s="2" t="s">
        <v>3691</v>
      </c>
      <c r="T395" s="2" t="s">
        <v>697</v>
      </c>
      <c r="V395" s="2" t="s">
        <v>3692</v>
      </c>
      <c r="W395" s="2" t="s">
        <v>3693</v>
      </c>
      <c r="X395" s="2" t="n">
        <v>10114</v>
      </c>
      <c r="Y395" s="2" t="s">
        <v>3694</v>
      </c>
      <c r="Z395" s="3" t="s">
        <v>3695</v>
      </c>
    </row>
    <row r="396" customFormat="false" ht="13.8" hidden="false" customHeight="false" outlineLevel="0" collapsed="false">
      <c r="A396" s="0" t="str">
        <f aca="false">CONCATENATE("__import__.res_partner_",C396)</f>
        <v>__import__.res_partner_20000010116</v>
      </c>
      <c r="B396" s="2" t="s">
        <v>3696</v>
      </c>
      <c r="C396" s="3" t="s">
        <v>3697</v>
      </c>
      <c r="D396" s="2" t="s">
        <v>3698</v>
      </c>
      <c r="F396" s="2" t="s">
        <v>30</v>
      </c>
      <c r="G396" s="2" t="s">
        <v>31</v>
      </c>
      <c r="H396" s="2" t="s">
        <v>32</v>
      </c>
      <c r="K396" s="2" t="s">
        <v>3699</v>
      </c>
      <c r="L396" s="3" t="s">
        <v>3700</v>
      </c>
      <c r="M396" s="2" t="s">
        <v>3701</v>
      </c>
      <c r="O396" s="2" t="s">
        <v>3702</v>
      </c>
      <c r="P396" s="2" t="s">
        <v>37</v>
      </c>
      <c r="Q396" s="2" t="s">
        <v>3703</v>
      </c>
      <c r="T396" s="2" t="s">
        <v>40</v>
      </c>
      <c r="X396" s="2" t="n">
        <v>10116</v>
      </c>
      <c r="Y396" s="2" t="s">
        <v>3698</v>
      </c>
      <c r="Z396" s="3" t="s">
        <v>3704</v>
      </c>
      <c r="AA396" s="2" t="s">
        <v>3705</v>
      </c>
    </row>
    <row r="397" customFormat="false" ht="13.8" hidden="false" customHeight="false" outlineLevel="0" collapsed="false">
      <c r="A397" s="0" t="str">
        <f aca="false">CONCATENATE("__import__.res_partner_",C397)</f>
        <v>__import__.res_partner_20000010117</v>
      </c>
      <c r="B397" s="2" t="s">
        <v>3706</v>
      </c>
      <c r="C397" s="3" t="s">
        <v>3707</v>
      </c>
      <c r="D397" s="2" t="s">
        <v>3708</v>
      </c>
      <c r="F397" s="2" t="s">
        <v>30</v>
      </c>
      <c r="G397" s="2" t="s">
        <v>31</v>
      </c>
      <c r="H397" s="2" t="s">
        <v>32</v>
      </c>
      <c r="K397" s="2" t="s">
        <v>3709</v>
      </c>
      <c r="L397" s="3" t="s">
        <v>2763</v>
      </c>
      <c r="M397" s="2" t="s">
        <v>3710</v>
      </c>
      <c r="O397" s="2" t="s">
        <v>2801</v>
      </c>
      <c r="P397" s="2" t="s">
        <v>37</v>
      </c>
      <c r="R397" s="2" t="s">
        <v>3711</v>
      </c>
      <c r="T397" s="2" t="s">
        <v>76</v>
      </c>
      <c r="X397" s="2" t="n">
        <v>10117</v>
      </c>
      <c r="Y397" s="2" t="s">
        <v>3708</v>
      </c>
      <c r="Z397" s="3" t="s">
        <v>3712</v>
      </c>
    </row>
    <row r="398" customFormat="false" ht="13.8" hidden="false" customHeight="false" outlineLevel="0" collapsed="false">
      <c r="A398" s="0" t="str">
        <f aca="false">CONCATENATE("__import__.res_partner_",C398)</f>
        <v>__import__.res_partner_20000010118</v>
      </c>
      <c r="B398" s="2" t="s">
        <v>3713</v>
      </c>
      <c r="C398" s="3" t="s">
        <v>3714</v>
      </c>
      <c r="D398" s="2" t="s">
        <v>3715</v>
      </c>
      <c r="F398" s="2" t="s">
        <v>30</v>
      </c>
      <c r="G398" s="2" t="s">
        <v>31</v>
      </c>
      <c r="H398" s="2" t="s">
        <v>32</v>
      </c>
      <c r="K398" s="2" t="s">
        <v>3716</v>
      </c>
      <c r="L398" s="3" t="s">
        <v>2763</v>
      </c>
      <c r="M398" s="2" t="s">
        <v>3717</v>
      </c>
      <c r="O398" s="2" t="s">
        <v>2765</v>
      </c>
      <c r="P398" s="2" t="s">
        <v>37</v>
      </c>
      <c r="Q398" s="2" t="s">
        <v>3718</v>
      </c>
      <c r="R398" s="2" t="s">
        <v>3719</v>
      </c>
      <c r="T398" s="2" t="s">
        <v>76</v>
      </c>
      <c r="X398" s="2" t="n">
        <v>10118</v>
      </c>
      <c r="Y398" s="2" t="s">
        <v>3720</v>
      </c>
      <c r="Z398" s="3" t="s">
        <v>3721</v>
      </c>
    </row>
    <row r="399" customFormat="false" ht="13.8" hidden="false" customHeight="false" outlineLevel="0" collapsed="false">
      <c r="A399" s="0" t="str">
        <f aca="false">CONCATENATE("__import__.res_partner_",C399)</f>
        <v>__import__.res_partner_20000010119</v>
      </c>
      <c r="B399" s="2" t="s">
        <v>3722</v>
      </c>
      <c r="C399" s="3" t="s">
        <v>3723</v>
      </c>
      <c r="D399" s="2" t="s">
        <v>3724</v>
      </c>
      <c r="F399" s="2" t="s">
        <v>30</v>
      </c>
      <c r="G399" s="2" t="s">
        <v>31</v>
      </c>
      <c r="H399" s="2" t="s">
        <v>32</v>
      </c>
      <c r="K399" s="2" t="s">
        <v>3725</v>
      </c>
      <c r="L399" s="3" t="s">
        <v>977</v>
      </c>
      <c r="M399" s="2" t="s">
        <v>3726</v>
      </c>
      <c r="O399" s="2" t="s">
        <v>904</v>
      </c>
      <c r="P399" s="2" t="s">
        <v>37</v>
      </c>
      <c r="R399" s="2" t="s">
        <v>3727</v>
      </c>
      <c r="T399" s="2" t="s">
        <v>697</v>
      </c>
      <c r="X399" s="2" t="n">
        <v>10119</v>
      </c>
      <c r="Y399" s="2" t="s">
        <v>3728</v>
      </c>
      <c r="Z399" s="3" t="s">
        <v>3729</v>
      </c>
    </row>
    <row r="400" customFormat="false" ht="13.8" hidden="false" customHeight="false" outlineLevel="0" collapsed="false">
      <c r="A400" s="0" t="str">
        <f aca="false">CONCATENATE("__import__.res_partner_",C400)</f>
        <v>__import__.res_partner_20000010121</v>
      </c>
      <c r="B400" s="2" t="s">
        <v>3730</v>
      </c>
      <c r="C400" s="3" t="s">
        <v>3731</v>
      </c>
      <c r="D400" s="2" t="s">
        <v>3732</v>
      </c>
      <c r="F400" s="2" t="s">
        <v>30</v>
      </c>
      <c r="G400" s="2" t="s">
        <v>31</v>
      </c>
      <c r="H400" s="2" t="s">
        <v>32</v>
      </c>
      <c r="K400" s="2" t="s">
        <v>3733</v>
      </c>
      <c r="L400" s="3" t="s">
        <v>2890</v>
      </c>
      <c r="M400" s="2" t="s">
        <v>3734</v>
      </c>
      <c r="O400" s="2" t="s">
        <v>2754</v>
      </c>
      <c r="P400" s="2" t="s">
        <v>37</v>
      </c>
      <c r="R400" s="2" t="s">
        <v>3735</v>
      </c>
      <c r="T400" s="2" t="s">
        <v>697</v>
      </c>
      <c r="X400" s="2" t="n">
        <v>10121</v>
      </c>
      <c r="Y400" s="2" t="s">
        <v>3736</v>
      </c>
      <c r="Z400" s="3" t="s">
        <v>3737</v>
      </c>
      <c r="AA400" s="2" t="s">
        <v>3738</v>
      </c>
    </row>
    <row r="401" customFormat="false" ht="13.8" hidden="false" customHeight="false" outlineLevel="0" collapsed="false">
      <c r="A401" s="0" t="str">
        <f aca="false">CONCATENATE("__import__.res_partner_",C401)</f>
        <v>__import__.res_partner_20000010122</v>
      </c>
      <c r="B401" s="2" t="s">
        <v>3739</v>
      </c>
      <c r="C401" s="3" t="s">
        <v>3740</v>
      </c>
      <c r="D401" s="2" t="s">
        <v>3741</v>
      </c>
      <c r="F401" s="2" t="s">
        <v>30</v>
      </c>
      <c r="G401" s="2" t="s">
        <v>31</v>
      </c>
      <c r="H401" s="2" t="s">
        <v>32</v>
      </c>
      <c r="K401" s="2" t="s">
        <v>3742</v>
      </c>
      <c r="L401" s="3" t="s">
        <v>3743</v>
      </c>
      <c r="M401" s="2" t="s">
        <v>3744</v>
      </c>
      <c r="O401" s="2" t="s">
        <v>3745</v>
      </c>
      <c r="P401" s="2" t="s">
        <v>37</v>
      </c>
      <c r="Q401" s="2" t="s">
        <v>3746</v>
      </c>
      <c r="R401" s="2" t="s">
        <v>3747</v>
      </c>
      <c r="T401" s="2" t="s">
        <v>97</v>
      </c>
      <c r="X401" s="2" t="n">
        <v>10122</v>
      </c>
      <c r="Y401" s="2" t="s">
        <v>3741</v>
      </c>
      <c r="Z401" s="3" t="s">
        <v>3748</v>
      </c>
    </row>
    <row r="402" customFormat="false" ht="13.8" hidden="false" customHeight="false" outlineLevel="0" collapsed="false">
      <c r="A402" s="0" t="str">
        <f aca="false">CONCATENATE("__import__.res_partner_",C402)</f>
        <v>__import__.res_partner_20000010124</v>
      </c>
      <c r="B402" s="2" t="s">
        <v>3749</v>
      </c>
      <c r="C402" s="3" t="s">
        <v>3750</v>
      </c>
      <c r="D402" s="2" t="s">
        <v>3751</v>
      </c>
      <c r="F402" s="2" t="s">
        <v>30</v>
      </c>
      <c r="G402" s="2" t="s">
        <v>31</v>
      </c>
      <c r="H402" s="2" t="s">
        <v>32</v>
      </c>
      <c r="K402" s="2" t="s">
        <v>3752</v>
      </c>
      <c r="L402" s="3" t="s">
        <v>3295</v>
      </c>
      <c r="M402" s="2" t="s">
        <v>3753</v>
      </c>
      <c r="O402" s="2" t="s">
        <v>3297</v>
      </c>
      <c r="P402" s="2" t="s">
        <v>37</v>
      </c>
      <c r="T402" s="2" t="s">
        <v>76</v>
      </c>
      <c r="X402" s="2" t="n">
        <v>10124</v>
      </c>
      <c r="Y402" s="2" t="s">
        <v>3751</v>
      </c>
      <c r="Z402" s="3" t="s">
        <v>3754</v>
      </c>
    </row>
    <row r="403" customFormat="false" ht="13.8" hidden="false" customHeight="false" outlineLevel="0" collapsed="false">
      <c r="A403" s="0" t="str">
        <f aca="false">CONCATENATE("__import__.res_partner_",C403)</f>
        <v>__import__.res_partner_20000010126</v>
      </c>
      <c r="B403" s="2" t="s">
        <v>3755</v>
      </c>
      <c r="C403" s="3" t="s">
        <v>3756</v>
      </c>
      <c r="D403" s="2" t="s">
        <v>3757</v>
      </c>
      <c r="F403" s="2" t="s">
        <v>30</v>
      </c>
      <c r="G403" s="2" t="s">
        <v>31</v>
      </c>
      <c r="H403" s="2" t="s">
        <v>32</v>
      </c>
      <c r="K403" s="2" t="s">
        <v>3758</v>
      </c>
      <c r="L403" s="3" t="s">
        <v>3759</v>
      </c>
      <c r="M403" s="2" t="s">
        <v>3760</v>
      </c>
      <c r="O403" s="2" t="s">
        <v>1058</v>
      </c>
      <c r="P403" s="2" t="s">
        <v>37</v>
      </c>
      <c r="Q403" s="2" t="s">
        <v>3761</v>
      </c>
      <c r="R403" s="2" t="s">
        <v>3762</v>
      </c>
      <c r="T403" s="2" t="s">
        <v>97</v>
      </c>
      <c r="X403" s="2" t="n">
        <v>10126</v>
      </c>
      <c r="Y403" s="2" t="s">
        <v>3763</v>
      </c>
      <c r="Z403" s="3" t="s">
        <v>3764</v>
      </c>
    </row>
    <row r="404" customFormat="false" ht="16.4" hidden="false" customHeight="false" outlineLevel="0" collapsed="false">
      <c r="A404" s="0" t="str">
        <f aca="false">CONCATENATE("__import__.res_partner_",C404)</f>
        <v>__import__.res_partner_20000010127</v>
      </c>
      <c r="B404" s="2" t="s">
        <v>3765</v>
      </c>
      <c r="C404" s="3" t="s">
        <v>3766</v>
      </c>
      <c r="D404" s="2" t="s">
        <v>3767</v>
      </c>
      <c r="F404" s="2" t="s">
        <v>30</v>
      </c>
      <c r="G404" s="2" t="s">
        <v>31</v>
      </c>
      <c r="H404" s="2" t="s">
        <v>32</v>
      </c>
      <c r="K404" s="2" t="s">
        <v>3768</v>
      </c>
      <c r="L404" s="3" t="s">
        <v>2602</v>
      </c>
      <c r="M404" s="2" t="s">
        <v>3769</v>
      </c>
      <c r="O404" s="2" t="s">
        <v>2931</v>
      </c>
      <c r="P404" s="2" t="s">
        <v>37</v>
      </c>
      <c r="Q404" s="2" t="s">
        <v>3770</v>
      </c>
      <c r="R404" s="2" t="s">
        <v>3771</v>
      </c>
      <c r="T404" s="2" t="s">
        <v>108</v>
      </c>
      <c r="X404" s="2" t="n">
        <v>10127</v>
      </c>
      <c r="Y404" s="2" t="s">
        <v>3772</v>
      </c>
      <c r="Z404" s="3" t="s">
        <v>3773</v>
      </c>
      <c r="AA404" s="4" t="s">
        <v>3774</v>
      </c>
    </row>
    <row r="405" customFormat="false" ht="16.4" hidden="false" customHeight="false" outlineLevel="0" collapsed="false">
      <c r="A405" s="0" t="str">
        <f aca="false">CONCATENATE("__import__.res_partner_",C405)</f>
        <v>__import__.res_partner_20000010128</v>
      </c>
      <c r="B405" s="2" t="s">
        <v>3775</v>
      </c>
      <c r="C405" s="3" t="s">
        <v>3776</v>
      </c>
      <c r="D405" s="2" t="s">
        <v>3777</v>
      </c>
      <c r="F405" s="2" t="s">
        <v>30</v>
      </c>
      <c r="G405" s="2" t="s">
        <v>31</v>
      </c>
      <c r="H405" s="2" t="s">
        <v>32</v>
      </c>
      <c r="K405" s="2" t="s">
        <v>3778</v>
      </c>
      <c r="L405" s="3" t="s">
        <v>47</v>
      </c>
      <c r="M405" s="2" t="s">
        <v>3779</v>
      </c>
      <c r="O405" s="2" t="s">
        <v>49</v>
      </c>
      <c r="P405" s="2" t="s">
        <v>37</v>
      </c>
      <c r="Q405" s="2" t="s">
        <v>3780</v>
      </c>
      <c r="R405" s="3" t="s">
        <v>3781</v>
      </c>
      <c r="T405" s="2" t="s">
        <v>697</v>
      </c>
      <c r="X405" s="2" t="n">
        <v>10128</v>
      </c>
      <c r="Y405" s="2" t="s">
        <v>3782</v>
      </c>
      <c r="Z405" s="3" t="s">
        <v>3783</v>
      </c>
      <c r="AA405" s="4" t="s">
        <v>3784</v>
      </c>
    </row>
    <row r="406" customFormat="false" ht="14.25" hidden="false" customHeight="false" outlineLevel="0" collapsed="false">
      <c r="A406" s="0" t="str">
        <f aca="false">CONCATENATE("__import__.res_partner_",C406)</f>
        <v>__import__.res_partner_20000010131</v>
      </c>
      <c r="B406" s="2" t="s">
        <v>3785</v>
      </c>
      <c r="C406" s="3" t="s">
        <v>3786</v>
      </c>
      <c r="D406" s="2" t="s">
        <v>3787</v>
      </c>
      <c r="F406" s="3" t="s">
        <v>557</v>
      </c>
      <c r="G406" s="2" t="s">
        <v>31</v>
      </c>
      <c r="H406" s="2" t="s">
        <v>32</v>
      </c>
      <c r="K406" s="2" t="s">
        <v>3788</v>
      </c>
      <c r="L406" s="3" t="s">
        <v>3789</v>
      </c>
      <c r="M406" s="2" t="s">
        <v>3790</v>
      </c>
      <c r="O406" s="2" t="s">
        <v>3645</v>
      </c>
      <c r="P406" s="2" t="s">
        <v>37</v>
      </c>
      <c r="T406" s="2" t="s">
        <v>76</v>
      </c>
      <c r="X406" s="2" t="n">
        <v>10131</v>
      </c>
      <c r="Y406" s="2" t="s">
        <v>3791</v>
      </c>
      <c r="Z406" s="3" t="s">
        <v>3792</v>
      </c>
    </row>
    <row r="407" customFormat="false" ht="91" hidden="false" customHeight="false" outlineLevel="0" collapsed="false">
      <c r="A407" s="0" t="str">
        <f aca="false">CONCATENATE("__import__.res_partner_",C407)</f>
        <v>__import__.res_partner_20000010133</v>
      </c>
      <c r="B407" s="2" t="s">
        <v>3793</v>
      </c>
      <c r="C407" s="3" t="s">
        <v>3794</v>
      </c>
      <c r="D407" s="2" t="s">
        <v>3795</v>
      </c>
      <c r="F407" s="2" t="s">
        <v>30</v>
      </c>
      <c r="G407" s="2" t="s">
        <v>31</v>
      </c>
      <c r="H407" s="2" t="s">
        <v>32</v>
      </c>
      <c r="K407" s="2" t="s">
        <v>3796</v>
      </c>
      <c r="L407" s="3" t="s">
        <v>1452</v>
      </c>
      <c r="M407" s="2" t="s">
        <v>3797</v>
      </c>
      <c r="O407" s="2" t="s">
        <v>3798</v>
      </c>
      <c r="P407" s="2" t="s">
        <v>37</v>
      </c>
      <c r="Q407" s="2" t="s">
        <v>3799</v>
      </c>
      <c r="R407" s="2" t="s">
        <v>3800</v>
      </c>
      <c r="T407" s="2" t="s">
        <v>97</v>
      </c>
      <c r="X407" s="2" t="n">
        <v>10133</v>
      </c>
      <c r="Y407" s="2" t="s">
        <v>3801</v>
      </c>
      <c r="Z407" s="3" t="s">
        <v>3802</v>
      </c>
      <c r="AA407" s="4" t="s">
        <v>3803</v>
      </c>
    </row>
    <row r="408" customFormat="false" ht="114.75" hidden="false" customHeight="false" outlineLevel="0" collapsed="false">
      <c r="A408" s="0" t="str">
        <f aca="false">CONCATENATE("__import__.res_partner_",C408)</f>
        <v>__import__.res_partner_20000010134</v>
      </c>
      <c r="B408" s="2" t="s">
        <v>3804</v>
      </c>
      <c r="C408" s="3" t="s">
        <v>3805</v>
      </c>
      <c r="D408" s="2" t="s">
        <v>3806</v>
      </c>
      <c r="F408" s="2" t="s">
        <v>30</v>
      </c>
      <c r="G408" s="2" t="s">
        <v>31</v>
      </c>
      <c r="H408" s="2" t="s">
        <v>32</v>
      </c>
      <c r="K408" s="2" t="s">
        <v>3807</v>
      </c>
      <c r="L408" s="3" t="s">
        <v>3808</v>
      </c>
      <c r="M408" s="2" t="s">
        <v>3809</v>
      </c>
      <c r="O408" s="2" t="s">
        <v>3810</v>
      </c>
      <c r="P408" s="2" t="s">
        <v>37</v>
      </c>
      <c r="Q408" s="2" t="s">
        <v>3811</v>
      </c>
      <c r="R408" s="2" t="s">
        <v>3812</v>
      </c>
      <c r="T408" s="2" t="s">
        <v>697</v>
      </c>
      <c r="X408" s="2" t="n">
        <v>10134</v>
      </c>
      <c r="Y408" s="2" t="s">
        <v>3813</v>
      </c>
      <c r="Z408" s="3" t="s">
        <v>3814</v>
      </c>
      <c r="AA408" s="4" t="s">
        <v>3815</v>
      </c>
    </row>
    <row r="409" customFormat="false" ht="13.8" hidden="false" customHeight="false" outlineLevel="0" collapsed="false">
      <c r="A409" s="0" t="str">
        <f aca="false">CONCATENATE("__import__.res_partner_",C409)</f>
        <v>__import__.res_partner_20000010136</v>
      </c>
      <c r="B409" s="2" t="s">
        <v>3816</v>
      </c>
      <c r="C409" s="3" t="s">
        <v>3817</v>
      </c>
      <c r="D409" s="2" t="s">
        <v>3818</v>
      </c>
      <c r="F409" s="2" t="s">
        <v>30</v>
      </c>
      <c r="G409" s="2" t="s">
        <v>31</v>
      </c>
      <c r="H409" s="2" t="s">
        <v>32</v>
      </c>
      <c r="K409" s="2" t="s">
        <v>3819</v>
      </c>
      <c r="L409" s="3" t="s">
        <v>3820</v>
      </c>
      <c r="M409" s="2" t="s">
        <v>3821</v>
      </c>
      <c r="O409" s="2" t="s">
        <v>3822</v>
      </c>
      <c r="P409" s="2" t="s">
        <v>37</v>
      </c>
      <c r="Q409" s="2" t="s">
        <v>3823</v>
      </c>
      <c r="R409" s="3" t="s">
        <v>3824</v>
      </c>
      <c r="T409" s="2" t="s">
        <v>108</v>
      </c>
      <c r="X409" s="2" t="n">
        <v>10136</v>
      </c>
      <c r="Y409" s="2" t="s">
        <v>3825</v>
      </c>
      <c r="Z409" s="3" t="s">
        <v>3826</v>
      </c>
    </row>
    <row r="410" customFormat="false" ht="13.8" hidden="false" customHeight="false" outlineLevel="0" collapsed="false">
      <c r="A410" s="0" t="str">
        <f aca="false">CONCATENATE("__import__.res_partner_",C410)</f>
        <v>__import__.res_partner_20000010137</v>
      </c>
      <c r="B410" s="2" t="s">
        <v>3827</v>
      </c>
      <c r="C410" s="3" t="s">
        <v>3828</v>
      </c>
      <c r="D410" s="2" t="s">
        <v>3829</v>
      </c>
      <c r="F410" s="2" t="s">
        <v>30</v>
      </c>
      <c r="G410" s="2" t="s">
        <v>31</v>
      </c>
      <c r="H410" s="2" t="s">
        <v>32</v>
      </c>
      <c r="K410" s="2" t="s">
        <v>3830</v>
      </c>
      <c r="L410" s="3" t="s">
        <v>3831</v>
      </c>
      <c r="M410" s="2" t="s">
        <v>3832</v>
      </c>
      <c r="O410" s="2" t="s">
        <v>3833</v>
      </c>
      <c r="P410" s="2" t="s">
        <v>37</v>
      </c>
      <c r="R410" s="2" t="s">
        <v>3834</v>
      </c>
      <c r="T410" s="2" t="s">
        <v>76</v>
      </c>
      <c r="X410" s="2" t="n">
        <v>10137</v>
      </c>
      <c r="Y410" s="2" t="s">
        <v>3829</v>
      </c>
      <c r="Z410" s="3" t="s">
        <v>3835</v>
      </c>
    </row>
    <row r="411" customFormat="false" ht="13.8" hidden="false" customHeight="false" outlineLevel="0" collapsed="false">
      <c r="A411" s="0" t="str">
        <f aca="false">CONCATENATE("__import__.res_partner_",C411)</f>
        <v>__import__.res_partner_20000010138</v>
      </c>
      <c r="B411" s="2" t="s">
        <v>3836</v>
      </c>
      <c r="C411" s="3" t="s">
        <v>3837</v>
      </c>
      <c r="D411" s="2" t="s">
        <v>3838</v>
      </c>
      <c r="F411" s="3" t="s">
        <v>557</v>
      </c>
      <c r="G411" s="2" t="s">
        <v>31</v>
      </c>
      <c r="H411" s="2" t="s">
        <v>32</v>
      </c>
      <c r="K411" s="2" t="s">
        <v>3839</v>
      </c>
      <c r="L411" s="3" t="s">
        <v>1359</v>
      </c>
      <c r="M411" s="2" t="s">
        <v>3840</v>
      </c>
      <c r="O411" s="2" t="s">
        <v>49</v>
      </c>
      <c r="P411" s="2" t="s">
        <v>37</v>
      </c>
      <c r="Q411" s="2" t="s">
        <v>3841</v>
      </c>
      <c r="R411" s="2" t="s">
        <v>3842</v>
      </c>
      <c r="T411" s="2" t="s">
        <v>697</v>
      </c>
      <c r="X411" s="2" t="n">
        <v>10138</v>
      </c>
      <c r="Y411" s="2" t="s">
        <v>3843</v>
      </c>
      <c r="Z411" s="3" t="s">
        <v>3844</v>
      </c>
    </row>
    <row r="412" customFormat="false" ht="27.75" hidden="false" customHeight="false" outlineLevel="0" collapsed="false">
      <c r="A412" s="0" t="str">
        <f aca="false">CONCATENATE("__import__.res_partner_",C412)</f>
        <v>__import__.res_partner_20000010139</v>
      </c>
      <c r="B412" s="2" t="s">
        <v>3845</v>
      </c>
      <c r="C412" s="3" t="s">
        <v>3846</v>
      </c>
      <c r="D412" s="2" t="s">
        <v>3847</v>
      </c>
      <c r="F412" s="2" t="s">
        <v>30</v>
      </c>
      <c r="G412" s="2" t="s">
        <v>31</v>
      </c>
      <c r="H412" s="2" t="s">
        <v>32</v>
      </c>
      <c r="K412" s="2" t="s">
        <v>3848</v>
      </c>
      <c r="L412" s="3" t="s">
        <v>3849</v>
      </c>
      <c r="M412" s="2" t="s">
        <v>3850</v>
      </c>
      <c r="O412" s="2" t="s">
        <v>3851</v>
      </c>
      <c r="P412" s="2" t="s">
        <v>37</v>
      </c>
      <c r="Q412" s="2" t="s">
        <v>3852</v>
      </c>
      <c r="R412" s="2" t="s">
        <v>3853</v>
      </c>
      <c r="T412" s="2" t="s">
        <v>108</v>
      </c>
      <c r="X412" s="2" t="n">
        <v>10139</v>
      </c>
      <c r="Y412" s="2" t="s">
        <v>3854</v>
      </c>
      <c r="Z412" s="3" t="s">
        <v>3855</v>
      </c>
      <c r="AA412" s="4" t="s">
        <v>3856</v>
      </c>
    </row>
    <row r="413" customFormat="false" ht="13.8" hidden="false" customHeight="false" outlineLevel="0" collapsed="false">
      <c r="A413" s="0" t="str">
        <f aca="false">CONCATENATE("__import__.res_partner_",C413)</f>
        <v>__import__.res_partner_20000010141</v>
      </c>
      <c r="B413" s="2" t="s">
        <v>3857</v>
      </c>
      <c r="C413" s="3" t="s">
        <v>3858</v>
      </c>
      <c r="D413" s="2" t="s">
        <v>3859</v>
      </c>
      <c r="F413" s="2" t="s">
        <v>30</v>
      </c>
      <c r="G413" s="2" t="s">
        <v>31</v>
      </c>
      <c r="H413" s="2" t="s">
        <v>32</v>
      </c>
      <c r="K413" s="2" t="s">
        <v>3860</v>
      </c>
      <c r="L413" s="3" t="s">
        <v>3861</v>
      </c>
      <c r="M413" s="2" t="s">
        <v>3862</v>
      </c>
      <c r="O413" s="2" t="s">
        <v>2754</v>
      </c>
      <c r="P413" s="2" t="s">
        <v>37</v>
      </c>
      <c r="R413" s="2" t="s">
        <v>3863</v>
      </c>
      <c r="T413" s="2" t="s">
        <v>76</v>
      </c>
      <c r="X413" s="2" t="n">
        <v>10141</v>
      </c>
      <c r="Y413" s="2" t="s">
        <v>3864</v>
      </c>
      <c r="Z413" s="3" t="s">
        <v>3865</v>
      </c>
    </row>
    <row r="414" customFormat="false" ht="13.8" hidden="false" customHeight="false" outlineLevel="0" collapsed="false">
      <c r="A414" s="0" t="str">
        <f aca="false">CONCATENATE("__import__.res_partner_",C414)</f>
        <v>__import__.res_partner_20000010143</v>
      </c>
      <c r="B414" s="2" t="s">
        <v>3866</v>
      </c>
      <c r="C414" s="3" t="s">
        <v>3867</v>
      </c>
      <c r="D414" s="2" t="s">
        <v>3868</v>
      </c>
      <c r="F414" s="2" t="s">
        <v>30</v>
      </c>
      <c r="G414" s="2" t="s">
        <v>31</v>
      </c>
      <c r="H414" s="2" t="s">
        <v>32</v>
      </c>
      <c r="K414" s="2" t="s">
        <v>3869</v>
      </c>
      <c r="L414" s="3" t="s">
        <v>3870</v>
      </c>
      <c r="M414" s="2" t="s">
        <v>3871</v>
      </c>
      <c r="O414" s="2" t="s">
        <v>1058</v>
      </c>
      <c r="P414" s="2" t="s">
        <v>37</v>
      </c>
      <c r="Q414" s="2" t="s">
        <v>3872</v>
      </c>
      <c r="R414" s="2" t="s">
        <v>3873</v>
      </c>
      <c r="T414" s="2" t="s">
        <v>108</v>
      </c>
      <c r="X414" s="2" t="n">
        <v>10143</v>
      </c>
      <c r="Y414" s="2" t="s">
        <v>3874</v>
      </c>
      <c r="Z414" s="3" t="s">
        <v>3875</v>
      </c>
    </row>
    <row r="415" customFormat="false" ht="13.8" hidden="false" customHeight="false" outlineLevel="0" collapsed="false">
      <c r="A415" s="0" t="str">
        <f aca="false">CONCATENATE("__import__.res_partner_",C415)</f>
        <v>__import__.res_partner_20000010144</v>
      </c>
      <c r="B415" s="2" t="s">
        <v>3876</v>
      </c>
      <c r="C415" s="3" t="s">
        <v>3877</v>
      </c>
      <c r="D415" s="2" t="s">
        <v>3878</v>
      </c>
      <c r="F415" s="2" t="s">
        <v>30</v>
      </c>
      <c r="G415" s="2" t="s">
        <v>31</v>
      </c>
      <c r="H415" s="2" t="s">
        <v>32</v>
      </c>
      <c r="K415" s="2" t="s">
        <v>3879</v>
      </c>
      <c r="L415" s="3" t="s">
        <v>749</v>
      </c>
      <c r="M415" s="2" t="s">
        <v>3880</v>
      </c>
      <c r="O415" s="2" t="s">
        <v>36</v>
      </c>
      <c r="P415" s="2" t="s">
        <v>37</v>
      </c>
      <c r="Q415" s="2" t="s">
        <v>338</v>
      </c>
      <c r="R415" s="2" t="s">
        <v>3881</v>
      </c>
      <c r="T415" s="2" t="s">
        <v>64</v>
      </c>
      <c r="X415" s="2" t="n">
        <v>10144</v>
      </c>
      <c r="Y415" s="2" t="s">
        <v>3882</v>
      </c>
      <c r="Z415" s="3" t="s">
        <v>3883</v>
      </c>
    </row>
    <row r="416" customFormat="false" ht="13.8" hidden="false" customHeight="false" outlineLevel="0" collapsed="false">
      <c r="A416" s="0" t="str">
        <f aca="false">CONCATENATE("__import__.res_partner_",C416)</f>
        <v>__import__.res_partner_20000010145</v>
      </c>
      <c r="B416" s="2" t="s">
        <v>3884</v>
      </c>
      <c r="C416" s="3" t="s">
        <v>3885</v>
      </c>
      <c r="D416" s="2" t="s">
        <v>3886</v>
      </c>
      <c r="F416" s="2" t="s">
        <v>30</v>
      </c>
      <c r="G416" s="2" t="s">
        <v>31</v>
      </c>
      <c r="H416" s="2" t="s">
        <v>32</v>
      </c>
      <c r="K416" s="2" t="s">
        <v>3887</v>
      </c>
      <c r="L416" s="3" t="s">
        <v>2771</v>
      </c>
      <c r="M416" s="2" t="s">
        <v>3888</v>
      </c>
      <c r="O416" s="2" t="s">
        <v>2754</v>
      </c>
      <c r="P416" s="2" t="s">
        <v>37</v>
      </c>
      <c r="Q416" s="2" t="s">
        <v>3889</v>
      </c>
      <c r="R416" s="2" t="s">
        <v>3890</v>
      </c>
      <c r="T416" s="2" t="s">
        <v>108</v>
      </c>
      <c r="X416" s="2" t="n">
        <v>10145</v>
      </c>
      <c r="Y416" s="2" t="s">
        <v>3886</v>
      </c>
      <c r="Z416" s="3" t="s">
        <v>3891</v>
      </c>
    </row>
    <row r="417" customFormat="false" ht="13.8" hidden="false" customHeight="false" outlineLevel="0" collapsed="false">
      <c r="A417" s="0" t="str">
        <f aca="false">CONCATENATE("__import__.res_partner_",C417)</f>
        <v>__import__.res_partner_20000010146</v>
      </c>
      <c r="B417" s="2" t="s">
        <v>3892</v>
      </c>
      <c r="C417" s="3" t="s">
        <v>3893</v>
      </c>
      <c r="D417" s="2" t="s">
        <v>3894</v>
      </c>
      <c r="F417" s="2" t="s">
        <v>30</v>
      </c>
      <c r="G417" s="2" t="s">
        <v>31</v>
      </c>
      <c r="H417" s="2" t="s">
        <v>32</v>
      </c>
      <c r="K417" s="2" t="s">
        <v>3895</v>
      </c>
      <c r="L417" s="3" t="s">
        <v>2879</v>
      </c>
      <c r="M417" s="2" t="s">
        <v>3896</v>
      </c>
      <c r="O417" s="2" t="s">
        <v>3897</v>
      </c>
      <c r="P417" s="2" t="s">
        <v>37</v>
      </c>
      <c r="Q417" s="2" t="s">
        <v>3898</v>
      </c>
      <c r="R417" s="2" t="s">
        <v>3899</v>
      </c>
      <c r="T417" s="2" t="s">
        <v>697</v>
      </c>
      <c r="V417" s="2" t="s">
        <v>3900</v>
      </c>
      <c r="W417" s="2" t="s">
        <v>3901</v>
      </c>
      <c r="X417" s="2" t="n">
        <v>10146</v>
      </c>
      <c r="Y417" s="2" t="s">
        <v>2884</v>
      </c>
      <c r="Z417" s="3" t="s">
        <v>3902</v>
      </c>
    </row>
    <row r="418" customFormat="false" ht="13.8" hidden="false" customHeight="false" outlineLevel="0" collapsed="false">
      <c r="A418" s="0" t="str">
        <f aca="false">CONCATENATE("__import__.res_partner_",C418)</f>
        <v>__import__.res_partner_20000010147</v>
      </c>
      <c r="B418" s="2" t="s">
        <v>3903</v>
      </c>
      <c r="C418" s="3" t="s">
        <v>3904</v>
      </c>
      <c r="D418" s="2" t="s">
        <v>3905</v>
      </c>
      <c r="F418" s="2" t="s">
        <v>30</v>
      </c>
      <c r="G418" s="2" t="s">
        <v>31</v>
      </c>
      <c r="H418" s="2" t="s">
        <v>32</v>
      </c>
      <c r="K418" s="2" t="s">
        <v>3906</v>
      </c>
      <c r="L418" s="3" t="s">
        <v>2890</v>
      </c>
      <c r="M418" s="2" t="s">
        <v>3907</v>
      </c>
      <c r="O418" s="2" t="s">
        <v>3908</v>
      </c>
      <c r="P418" s="2" t="s">
        <v>37</v>
      </c>
      <c r="Q418" s="2" t="s">
        <v>3909</v>
      </c>
      <c r="R418" s="3" t="s">
        <v>3910</v>
      </c>
      <c r="T418" s="2" t="s">
        <v>76</v>
      </c>
      <c r="X418" s="2" t="n">
        <v>10147</v>
      </c>
      <c r="Y418" s="2" t="s">
        <v>3905</v>
      </c>
      <c r="Z418" s="3" t="s">
        <v>3911</v>
      </c>
    </row>
    <row r="419" customFormat="false" ht="13.8" hidden="false" customHeight="false" outlineLevel="0" collapsed="false">
      <c r="A419" s="0" t="str">
        <f aca="false">CONCATENATE("__import__.res_partner_",C419)</f>
        <v>__import__.res_partner_20000010148</v>
      </c>
      <c r="B419" s="2" t="s">
        <v>3912</v>
      </c>
      <c r="C419" s="3" t="s">
        <v>3913</v>
      </c>
      <c r="D419" s="2" t="s">
        <v>3914</v>
      </c>
      <c r="F419" s="2" t="s">
        <v>30</v>
      </c>
      <c r="G419" s="2" t="s">
        <v>31</v>
      </c>
      <c r="H419" s="2" t="s">
        <v>32</v>
      </c>
      <c r="K419" s="2" t="s">
        <v>3915</v>
      </c>
      <c r="L419" s="3" t="s">
        <v>3916</v>
      </c>
      <c r="M419" s="2" t="s">
        <v>3917</v>
      </c>
      <c r="O419" s="2" t="s">
        <v>1227</v>
      </c>
      <c r="P419" s="2" t="s">
        <v>37</v>
      </c>
      <c r="Q419" s="2" t="s">
        <v>3918</v>
      </c>
      <c r="R419" s="2" t="s">
        <v>3919</v>
      </c>
      <c r="T419" s="2" t="s">
        <v>697</v>
      </c>
      <c r="X419" s="2" t="n">
        <v>10148</v>
      </c>
      <c r="Y419" s="2" t="s">
        <v>3914</v>
      </c>
      <c r="Z419" s="3" t="s">
        <v>3920</v>
      </c>
    </row>
    <row r="420" customFormat="false" ht="27.75" hidden="false" customHeight="false" outlineLevel="0" collapsed="false">
      <c r="A420" s="0" t="str">
        <f aca="false">CONCATENATE("__import__.res_partner_",C420)</f>
        <v>__import__.res_partner_20000010149</v>
      </c>
      <c r="B420" s="2" t="s">
        <v>3921</v>
      </c>
      <c r="C420" s="3" t="s">
        <v>3922</v>
      </c>
      <c r="D420" s="2" t="s">
        <v>3923</v>
      </c>
      <c r="F420" s="2" t="s">
        <v>30</v>
      </c>
      <c r="G420" s="2" t="s">
        <v>31</v>
      </c>
      <c r="H420" s="2" t="s">
        <v>32</v>
      </c>
      <c r="K420" s="2" t="s">
        <v>3924</v>
      </c>
      <c r="L420" s="3" t="s">
        <v>966</v>
      </c>
      <c r="M420" s="2" t="s">
        <v>3925</v>
      </c>
      <c r="O420" s="2" t="s">
        <v>968</v>
      </c>
      <c r="P420" s="2" t="s">
        <v>37</v>
      </c>
      <c r="Q420" s="2" t="s">
        <v>3926</v>
      </c>
      <c r="R420" s="2" t="s">
        <v>3927</v>
      </c>
      <c r="T420" s="2" t="s">
        <v>40</v>
      </c>
      <c r="X420" s="2" t="n">
        <v>10149</v>
      </c>
      <c r="Y420" s="2" t="s">
        <v>3923</v>
      </c>
      <c r="Z420" s="3" t="s">
        <v>3928</v>
      </c>
      <c r="AA420" s="4" t="s">
        <v>3929</v>
      </c>
    </row>
    <row r="421" customFormat="false" ht="57" hidden="false" customHeight="false" outlineLevel="0" collapsed="false">
      <c r="A421" s="0" t="str">
        <f aca="false">CONCATENATE("__import__.res_partner_",C421)</f>
        <v>__import__.res_partner_20000010150</v>
      </c>
      <c r="B421" s="2" t="s">
        <v>3930</v>
      </c>
      <c r="C421" s="3" t="s">
        <v>3931</v>
      </c>
      <c r="D421" s="2" t="s">
        <v>3932</v>
      </c>
      <c r="F421" s="2" t="s">
        <v>30</v>
      </c>
      <c r="G421" s="2" t="s">
        <v>31</v>
      </c>
      <c r="H421" s="2" t="s">
        <v>32</v>
      </c>
      <c r="K421" s="2" t="s">
        <v>3933</v>
      </c>
      <c r="L421" s="3" t="s">
        <v>3934</v>
      </c>
      <c r="M421" s="2" t="s">
        <v>3935</v>
      </c>
      <c r="O421" s="2" t="s">
        <v>3936</v>
      </c>
      <c r="P421" s="2" t="s">
        <v>37</v>
      </c>
      <c r="Q421" s="2" t="s">
        <v>3937</v>
      </c>
      <c r="R421" s="2" t="s">
        <v>3938</v>
      </c>
      <c r="T421" s="2" t="s">
        <v>76</v>
      </c>
      <c r="X421" s="2" t="n">
        <v>10150</v>
      </c>
      <c r="Y421" s="2" t="s">
        <v>3932</v>
      </c>
      <c r="Z421" s="3" t="s">
        <v>3939</v>
      </c>
      <c r="AA421" s="4" t="s">
        <v>3940</v>
      </c>
    </row>
    <row r="422" customFormat="false" ht="13.8" hidden="false" customHeight="false" outlineLevel="0" collapsed="false">
      <c r="A422" s="0" t="str">
        <f aca="false">CONCATENATE("__import__.res_partner_",C422)</f>
        <v>__import__.res_partner_20000010151</v>
      </c>
      <c r="B422" s="2" t="s">
        <v>3941</v>
      </c>
      <c r="C422" s="3" t="s">
        <v>3942</v>
      </c>
      <c r="D422" s="2" t="s">
        <v>3943</v>
      </c>
      <c r="F422" s="2" t="s">
        <v>30</v>
      </c>
      <c r="G422" s="2" t="s">
        <v>31</v>
      </c>
      <c r="H422" s="2" t="s">
        <v>32</v>
      </c>
      <c r="K422" s="2" t="s">
        <v>3944</v>
      </c>
      <c r="L422" s="3" t="s">
        <v>3945</v>
      </c>
      <c r="M422" s="2" t="s">
        <v>3946</v>
      </c>
      <c r="O422" s="2" t="s">
        <v>2754</v>
      </c>
      <c r="P422" s="2" t="s">
        <v>37</v>
      </c>
      <c r="Q422" s="2" t="s">
        <v>3947</v>
      </c>
      <c r="R422" s="2" t="s">
        <v>3948</v>
      </c>
      <c r="T422" s="2" t="s">
        <v>76</v>
      </c>
      <c r="X422" s="2" t="n">
        <v>10151</v>
      </c>
      <c r="Y422" s="2" t="s">
        <v>3943</v>
      </c>
      <c r="Z422" s="3" t="s">
        <v>3949</v>
      </c>
    </row>
    <row r="423" customFormat="false" ht="13.8" hidden="false" customHeight="false" outlineLevel="0" collapsed="false">
      <c r="A423" s="0" t="str">
        <f aca="false">CONCATENATE("__import__.res_partner_",C423)</f>
        <v>__import__.res_partner_20000010152</v>
      </c>
      <c r="B423" s="2" t="s">
        <v>3950</v>
      </c>
      <c r="C423" s="3" t="s">
        <v>3951</v>
      </c>
      <c r="D423" s="2" t="s">
        <v>3952</v>
      </c>
      <c r="F423" s="2" t="s">
        <v>30</v>
      </c>
      <c r="G423" s="2" t="s">
        <v>31</v>
      </c>
      <c r="H423" s="2" t="s">
        <v>32</v>
      </c>
      <c r="K423" s="2" t="s">
        <v>3953</v>
      </c>
      <c r="L423" s="3" t="s">
        <v>1204</v>
      </c>
      <c r="M423" s="2" t="s">
        <v>3954</v>
      </c>
      <c r="O423" s="2" t="s">
        <v>1206</v>
      </c>
      <c r="P423" s="2" t="s">
        <v>37</v>
      </c>
      <c r="Q423" s="2" t="s">
        <v>3955</v>
      </c>
      <c r="R423" s="2" t="s">
        <v>3956</v>
      </c>
      <c r="T423" s="2" t="s">
        <v>64</v>
      </c>
      <c r="X423" s="2" t="n">
        <v>10152</v>
      </c>
      <c r="Y423" s="2" t="s">
        <v>3957</v>
      </c>
      <c r="Z423" s="3" t="s">
        <v>3958</v>
      </c>
      <c r="AA423" s="2" t="s">
        <v>3959</v>
      </c>
    </row>
    <row r="424" customFormat="false" ht="13.8" hidden="false" customHeight="false" outlineLevel="0" collapsed="false">
      <c r="A424" s="0" t="str">
        <f aca="false">CONCATENATE("__import__.res_partner_",C424)</f>
        <v>__import__.res_partner_20000010156</v>
      </c>
      <c r="B424" s="2" t="s">
        <v>3960</v>
      </c>
      <c r="C424" s="3" t="s">
        <v>3961</v>
      </c>
      <c r="D424" s="2" t="s">
        <v>3962</v>
      </c>
      <c r="F424" s="2" t="s">
        <v>30</v>
      </c>
      <c r="G424" s="2" t="s">
        <v>31</v>
      </c>
      <c r="H424" s="2" t="s">
        <v>32</v>
      </c>
      <c r="K424" s="2" t="s">
        <v>3963</v>
      </c>
      <c r="L424" s="3" t="s">
        <v>3964</v>
      </c>
      <c r="M424" s="2" t="s">
        <v>3965</v>
      </c>
      <c r="O424" s="2" t="s">
        <v>3966</v>
      </c>
      <c r="P424" s="2" t="s">
        <v>37</v>
      </c>
      <c r="Q424" s="2" t="s">
        <v>3967</v>
      </c>
      <c r="R424" s="2" t="s">
        <v>3968</v>
      </c>
      <c r="T424" s="2" t="s">
        <v>40</v>
      </c>
      <c r="X424" s="2" t="n">
        <v>10156</v>
      </c>
      <c r="Y424" s="2" t="s">
        <v>3969</v>
      </c>
      <c r="Z424" s="3" t="s">
        <v>3970</v>
      </c>
    </row>
    <row r="425" customFormat="false" ht="13.8" hidden="false" customHeight="false" outlineLevel="0" collapsed="false">
      <c r="A425" s="0" t="str">
        <f aca="false">CONCATENATE("__import__.res_partner_",C425)</f>
        <v>__import__.res_partner_20000010158</v>
      </c>
      <c r="B425" s="2" t="s">
        <v>3971</v>
      </c>
      <c r="C425" s="3" t="s">
        <v>3972</v>
      </c>
      <c r="D425" s="2" t="s">
        <v>3973</v>
      </c>
      <c r="F425" s="2" t="s">
        <v>30</v>
      </c>
      <c r="G425" s="2" t="s">
        <v>31</v>
      </c>
      <c r="H425" s="2" t="s">
        <v>32</v>
      </c>
      <c r="K425" s="2" t="s">
        <v>3974</v>
      </c>
      <c r="L425" s="3" t="s">
        <v>3975</v>
      </c>
      <c r="M425" s="2" t="s">
        <v>3976</v>
      </c>
      <c r="O425" s="2" t="s">
        <v>1556</v>
      </c>
      <c r="P425" s="2" t="s">
        <v>37</v>
      </c>
      <c r="Q425" s="2" t="s">
        <v>3977</v>
      </c>
      <c r="R425" s="2" t="s">
        <v>3978</v>
      </c>
      <c r="T425" s="2" t="s">
        <v>97</v>
      </c>
      <c r="X425" s="2" t="n">
        <v>10158</v>
      </c>
      <c r="Y425" s="2" t="s">
        <v>3979</v>
      </c>
      <c r="Z425" s="3" t="s">
        <v>3980</v>
      </c>
    </row>
    <row r="426" customFormat="false" ht="13.8" hidden="false" customHeight="false" outlineLevel="0" collapsed="false">
      <c r="A426" s="0" t="str">
        <f aca="false">CONCATENATE("__import__.res_partner_",C426)</f>
        <v>__import__.res_partner_20000010159</v>
      </c>
      <c r="B426" s="2" t="s">
        <v>3981</v>
      </c>
      <c r="C426" s="3" t="s">
        <v>3982</v>
      </c>
      <c r="D426" s="2" t="s">
        <v>3983</v>
      </c>
      <c r="F426" s="2" t="s">
        <v>30</v>
      </c>
      <c r="G426" s="2" t="s">
        <v>31</v>
      </c>
      <c r="H426" s="2" t="s">
        <v>32</v>
      </c>
      <c r="K426" s="2" t="s">
        <v>3984</v>
      </c>
      <c r="L426" s="3" t="s">
        <v>1204</v>
      </c>
      <c r="M426" s="2" t="s">
        <v>3985</v>
      </c>
      <c r="O426" s="2" t="s">
        <v>1206</v>
      </c>
      <c r="P426" s="2" t="s">
        <v>37</v>
      </c>
      <c r="Q426" s="2" t="s">
        <v>3316</v>
      </c>
      <c r="R426" s="3" t="s">
        <v>3317</v>
      </c>
      <c r="T426" s="2" t="s">
        <v>76</v>
      </c>
      <c r="X426" s="2" t="n">
        <v>10159</v>
      </c>
      <c r="Y426" s="2" t="s">
        <v>3983</v>
      </c>
      <c r="Z426" s="3" t="s">
        <v>3986</v>
      </c>
    </row>
    <row r="427" customFormat="false" ht="13.8" hidden="false" customHeight="false" outlineLevel="0" collapsed="false">
      <c r="A427" s="0" t="str">
        <f aca="false">CONCATENATE("__import__.res_partner_",C427)</f>
        <v>__import__.res_partner_20000010160</v>
      </c>
      <c r="B427" s="2" t="s">
        <v>3987</v>
      </c>
      <c r="C427" s="3" t="s">
        <v>3988</v>
      </c>
      <c r="D427" s="2" t="s">
        <v>3989</v>
      </c>
      <c r="F427" s="2" t="s">
        <v>30</v>
      </c>
      <c r="G427" s="2" t="s">
        <v>31</v>
      </c>
      <c r="H427" s="2" t="s">
        <v>32</v>
      </c>
      <c r="K427" s="2" t="s">
        <v>3990</v>
      </c>
      <c r="L427" s="3" t="s">
        <v>3991</v>
      </c>
      <c r="M427" s="2" t="s">
        <v>3992</v>
      </c>
      <c r="O427" s="2" t="s">
        <v>3993</v>
      </c>
      <c r="P427" s="2" t="s">
        <v>37</v>
      </c>
      <c r="Q427" s="2" t="s">
        <v>3937</v>
      </c>
      <c r="R427" s="3" t="s">
        <v>3994</v>
      </c>
      <c r="T427" s="2" t="s">
        <v>64</v>
      </c>
      <c r="X427" s="2" t="n">
        <v>10160</v>
      </c>
      <c r="Y427" s="2" t="s">
        <v>3989</v>
      </c>
      <c r="Z427" s="3" t="s">
        <v>3995</v>
      </c>
    </row>
    <row r="428" customFormat="false" ht="13.8" hidden="false" customHeight="false" outlineLevel="0" collapsed="false">
      <c r="A428" s="0" t="str">
        <f aca="false">CONCATENATE("__import__.res_partner_",C428)</f>
        <v>__import__.res_partner_20000010161</v>
      </c>
      <c r="B428" s="2" t="s">
        <v>3996</v>
      </c>
      <c r="C428" s="3" t="s">
        <v>3997</v>
      </c>
      <c r="D428" s="2" t="s">
        <v>3998</v>
      </c>
      <c r="F428" s="2" t="s">
        <v>30</v>
      </c>
      <c r="G428" s="2" t="s">
        <v>31</v>
      </c>
      <c r="H428" s="2" t="s">
        <v>32</v>
      </c>
      <c r="K428" s="2" t="s">
        <v>3999</v>
      </c>
      <c r="L428" s="3" t="s">
        <v>4000</v>
      </c>
      <c r="M428" s="2" t="s">
        <v>4001</v>
      </c>
      <c r="O428" s="2" t="s">
        <v>4002</v>
      </c>
      <c r="P428" s="2" t="s">
        <v>37</v>
      </c>
      <c r="Q428" s="2" t="s">
        <v>4003</v>
      </c>
      <c r="R428" s="2" t="s">
        <v>4004</v>
      </c>
      <c r="T428" s="2" t="s">
        <v>40</v>
      </c>
      <c r="X428" s="2" t="n">
        <v>10161</v>
      </c>
      <c r="Y428" s="2" t="s">
        <v>3998</v>
      </c>
      <c r="Z428" s="3" t="s">
        <v>4005</v>
      </c>
    </row>
    <row r="429" customFormat="false" ht="13.8" hidden="false" customHeight="false" outlineLevel="0" collapsed="false">
      <c r="A429" s="0" t="str">
        <f aca="false">CONCATENATE("__import__.res_partner_",C429)</f>
        <v>__import__.res_partner_20000010162</v>
      </c>
      <c r="B429" s="2" t="s">
        <v>4006</v>
      </c>
      <c r="C429" s="3" t="s">
        <v>4007</v>
      </c>
      <c r="D429" s="2" t="s">
        <v>4008</v>
      </c>
      <c r="F429" s="2" t="s">
        <v>30</v>
      </c>
      <c r="G429" s="2" t="s">
        <v>31</v>
      </c>
      <c r="H429" s="2" t="s">
        <v>32</v>
      </c>
      <c r="K429" s="2" t="s">
        <v>4009</v>
      </c>
      <c r="L429" s="3" t="s">
        <v>3934</v>
      </c>
      <c r="M429" s="2" t="s">
        <v>4010</v>
      </c>
      <c r="O429" s="2" t="s">
        <v>4011</v>
      </c>
      <c r="P429" s="2" t="s">
        <v>37</v>
      </c>
      <c r="Q429" s="2" t="s">
        <v>4012</v>
      </c>
      <c r="R429" s="2" t="s">
        <v>4013</v>
      </c>
      <c r="T429" s="2" t="s">
        <v>40</v>
      </c>
      <c r="X429" s="2" t="n">
        <v>10162</v>
      </c>
      <c r="Y429" s="2" t="s">
        <v>4008</v>
      </c>
      <c r="Z429" s="3" t="s">
        <v>4014</v>
      </c>
      <c r="AA429" s="2" t="s">
        <v>3937</v>
      </c>
    </row>
    <row r="430" customFormat="false" ht="105.95" hidden="false" customHeight="false" outlineLevel="0" collapsed="false">
      <c r="A430" s="0" t="str">
        <f aca="false">CONCATENATE("__import__.res_partner_",C430)</f>
        <v>__import__.res_partner_20000010164</v>
      </c>
      <c r="B430" s="2" t="s">
        <v>4015</v>
      </c>
      <c r="C430" s="3" t="s">
        <v>4016</v>
      </c>
      <c r="D430" s="2" t="s">
        <v>4017</v>
      </c>
      <c r="F430" s="2" t="s">
        <v>30</v>
      </c>
      <c r="G430" s="2" t="s">
        <v>31</v>
      </c>
      <c r="H430" s="2" t="s">
        <v>32</v>
      </c>
      <c r="K430" s="2" t="s">
        <v>4018</v>
      </c>
      <c r="L430" s="3" t="s">
        <v>2781</v>
      </c>
      <c r="M430" s="2" t="s">
        <v>4019</v>
      </c>
      <c r="O430" s="2" t="s">
        <v>4020</v>
      </c>
      <c r="P430" s="2" t="s">
        <v>37</v>
      </c>
      <c r="Q430" s="2" t="s">
        <v>4021</v>
      </c>
      <c r="R430" s="2" t="s">
        <v>4022</v>
      </c>
      <c r="T430" s="2" t="s">
        <v>40</v>
      </c>
      <c r="X430" s="2" t="n">
        <v>10164</v>
      </c>
      <c r="Y430" s="2" t="s">
        <v>4023</v>
      </c>
      <c r="Z430" s="3" t="s">
        <v>4024</v>
      </c>
      <c r="AA430" s="4" t="s">
        <v>4025</v>
      </c>
    </row>
    <row r="431" customFormat="false" ht="13.8" hidden="false" customHeight="false" outlineLevel="0" collapsed="false">
      <c r="A431" s="0" t="str">
        <f aca="false">CONCATENATE("__import__.res_partner_",C431)</f>
        <v>__import__.res_partner_20000010165</v>
      </c>
      <c r="B431" s="2" t="s">
        <v>4026</v>
      </c>
      <c r="C431" s="3" t="s">
        <v>4027</v>
      </c>
      <c r="D431" s="2" t="s">
        <v>4028</v>
      </c>
      <c r="F431" s="2" t="s">
        <v>30</v>
      </c>
      <c r="G431" s="2" t="s">
        <v>31</v>
      </c>
      <c r="H431" s="2" t="s">
        <v>32</v>
      </c>
      <c r="K431" s="2" t="s">
        <v>4029</v>
      </c>
      <c r="L431" s="3" t="s">
        <v>4030</v>
      </c>
      <c r="M431" s="2" t="s">
        <v>4031</v>
      </c>
      <c r="O431" s="2" t="s">
        <v>4032</v>
      </c>
      <c r="P431" s="2" t="s">
        <v>37</v>
      </c>
      <c r="Q431" s="2" t="s">
        <v>338</v>
      </c>
      <c r="R431" s="3" t="s">
        <v>4033</v>
      </c>
      <c r="T431" s="2" t="s">
        <v>64</v>
      </c>
      <c r="X431" s="2" t="n">
        <v>10165</v>
      </c>
      <c r="Y431" s="2" t="s">
        <v>4028</v>
      </c>
      <c r="Z431" s="3" t="s">
        <v>4034</v>
      </c>
    </row>
    <row r="432" customFormat="false" ht="13.8" hidden="false" customHeight="false" outlineLevel="0" collapsed="false">
      <c r="A432" s="0" t="str">
        <f aca="false">CONCATENATE("__import__.res_partner_",C432)</f>
        <v>__import__.res_partner_20000010167</v>
      </c>
      <c r="B432" s="2" t="s">
        <v>4035</v>
      </c>
      <c r="C432" s="3" t="s">
        <v>4036</v>
      </c>
      <c r="D432" s="2" t="s">
        <v>4037</v>
      </c>
      <c r="F432" s="2" t="s">
        <v>30</v>
      </c>
      <c r="G432" s="2" t="s">
        <v>31</v>
      </c>
      <c r="H432" s="2" t="s">
        <v>32</v>
      </c>
      <c r="K432" s="2" t="s">
        <v>4038</v>
      </c>
      <c r="L432" s="3" t="s">
        <v>3168</v>
      </c>
      <c r="M432" s="2" t="s">
        <v>4039</v>
      </c>
      <c r="O432" s="2" t="s">
        <v>3170</v>
      </c>
      <c r="P432" s="2" t="s">
        <v>37</v>
      </c>
      <c r="Q432" s="2" t="s">
        <v>4040</v>
      </c>
      <c r="R432" s="2" t="s">
        <v>4041</v>
      </c>
      <c r="T432" s="2" t="s">
        <v>565</v>
      </c>
      <c r="X432" s="2" t="n">
        <v>10167</v>
      </c>
      <c r="Y432" s="2" t="s">
        <v>4037</v>
      </c>
      <c r="Z432" s="3" t="s">
        <v>4042</v>
      </c>
    </row>
    <row r="433" customFormat="false" ht="180.55" hidden="false" customHeight="false" outlineLevel="0" collapsed="false">
      <c r="A433" s="0" t="str">
        <f aca="false">CONCATENATE("__import__.res_partner_",C433)</f>
        <v>__import__.res_partner_20000010168</v>
      </c>
      <c r="B433" s="2" t="s">
        <v>4043</v>
      </c>
      <c r="C433" s="3" t="s">
        <v>4044</v>
      </c>
      <c r="D433" s="2" t="s">
        <v>4045</v>
      </c>
      <c r="F433" s="2" t="s">
        <v>30</v>
      </c>
      <c r="G433" s="2" t="s">
        <v>31</v>
      </c>
      <c r="H433" s="2" t="s">
        <v>32</v>
      </c>
      <c r="K433" s="2" t="s">
        <v>4046</v>
      </c>
      <c r="L433" s="3" t="s">
        <v>4047</v>
      </c>
      <c r="M433" s="2" t="s">
        <v>4048</v>
      </c>
      <c r="O433" s="2" t="s">
        <v>4049</v>
      </c>
      <c r="P433" s="2" t="s">
        <v>37</v>
      </c>
      <c r="Q433" s="2" t="s">
        <v>4050</v>
      </c>
      <c r="R433" s="2" t="s">
        <v>4051</v>
      </c>
      <c r="T433" s="2" t="s">
        <v>40</v>
      </c>
      <c r="X433" s="2" t="n">
        <v>10168</v>
      </c>
      <c r="Y433" s="2" t="s">
        <v>4045</v>
      </c>
      <c r="Z433" s="3" t="s">
        <v>4052</v>
      </c>
      <c r="AA433" s="4" t="s">
        <v>4053</v>
      </c>
    </row>
    <row r="434" customFormat="false" ht="13.8" hidden="false" customHeight="false" outlineLevel="0" collapsed="false">
      <c r="A434" s="0" t="str">
        <f aca="false">CONCATENATE("__import__.res_partner_",C434)</f>
        <v>__import__.res_partner_20000010173</v>
      </c>
      <c r="B434" s="2" t="s">
        <v>4054</v>
      </c>
      <c r="C434" s="3" t="s">
        <v>4055</v>
      </c>
      <c r="D434" s="2" t="s">
        <v>4056</v>
      </c>
      <c r="F434" s="2" t="s">
        <v>30</v>
      </c>
      <c r="G434" s="2" t="s">
        <v>31</v>
      </c>
      <c r="H434" s="2" t="s">
        <v>32</v>
      </c>
      <c r="K434" s="2" t="s">
        <v>4057</v>
      </c>
      <c r="L434" s="3" t="s">
        <v>4058</v>
      </c>
      <c r="M434" s="2" t="s">
        <v>4059</v>
      </c>
      <c r="O434" s="2" t="s">
        <v>4060</v>
      </c>
      <c r="P434" s="2" t="s">
        <v>37</v>
      </c>
      <c r="Q434" s="2" t="s">
        <v>4061</v>
      </c>
      <c r="R434" s="2" t="s">
        <v>4062</v>
      </c>
      <c r="T434" s="2" t="s">
        <v>97</v>
      </c>
      <c r="X434" s="2" t="n">
        <v>10173</v>
      </c>
      <c r="Y434" s="2" t="s">
        <v>4045</v>
      </c>
      <c r="Z434" s="3" t="s">
        <v>4063</v>
      </c>
    </row>
    <row r="435" customFormat="false" ht="13.8" hidden="false" customHeight="false" outlineLevel="0" collapsed="false">
      <c r="A435" s="0" t="str">
        <f aca="false">CONCATENATE("__import__.res_partner_",C435)</f>
        <v>__import__.res_partner_20000010174</v>
      </c>
      <c r="B435" s="2" t="s">
        <v>4064</v>
      </c>
      <c r="C435" s="3" t="s">
        <v>4065</v>
      </c>
      <c r="D435" s="2" t="s">
        <v>4066</v>
      </c>
      <c r="F435" s="2" t="s">
        <v>30</v>
      </c>
      <c r="G435" s="2" t="s">
        <v>31</v>
      </c>
      <c r="H435" s="2" t="s">
        <v>32</v>
      </c>
      <c r="K435" s="2" t="s">
        <v>4067</v>
      </c>
      <c r="L435" s="3" t="s">
        <v>2317</v>
      </c>
      <c r="M435" s="2" t="s">
        <v>4068</v>
      </c>
      <c r="O435" s="2" t="s">
        <v>2319</v>
      </c>
      <c r="P435" s="2" t="s">
        <v>37</v>
      </c>
      <c r="Q435" s="2" t="s">
        <v>4069</v>
      </c>
      <c r="R435" s="2" t="s">
        <v>4070</v>
      </c>
      <c r="T435" s="2" t="s">
        <v>97</v>
      </c>
      <c r="X435" s="2" t="n">
        <v>10174</v>
      </c>
      <c r="Y435" s="2" t="s">
        <v>4066</v>
      </c>
      <c r="Z435" s="3" t="s">
        <v>4071</v>
      </c>
    </row>
    <row r="436" customFormat="false" ht="13.8" hidden="false" customHeight="false" outlineLevel="0" collapsed="false">
      <c r="A436" s="0" t="str">
        <f aca="false">CONCATENATE("__import__.res_partner_",C436)</f>
        <v>__import__.res_partner_20000010176</v>
      </c>
      <c r="B436" s="2" t="s">
        <v>4072</v>
      </c>
      <c r="C436" s="3" t="s">
        <v>4073</v>
      </c>
      <c r="D436" s="2" t="s">
        <v>4074</v>
      </c>
      <c r="F436" s="2" t="s">
        <v>30</v>
      </c>
      <c r="G436" s="2" t="s">
        <v>31</v>
      </c>
      <c r="H436" s="2" t="s">
        <v>32</v>
      </c>
      <c r="K436" s="2" t="s">
        <v>1106</v>
      </c>
      <c r="L436" s="3" t="s">
        <v>1107</v>
      </c>
      <c r="M436" s="2" t="s">
        <v>4075</v>
      </c>
      <c r="O436" s="2" t="s">
        <v>4076</v>
      </c>
      <c r="P436" s="2" t="s">
        <v>37</v>
      </c>
      <c r="T436" s="2" t="s">
        <v>40</v>
      </c>
      <c r="X436" s="2" t="n">
        <v>10176</v>
      </c>
      <c r="Y436" s="2" t="s">
        <v>4074</v>
      </c>
      <c r="Z436" s="3" t="s">
        <v>4077</v>
      </c>
    </row>
    <row r="437" customFormat="false" ht="13.8" hidden="false" customHeight="false" outlineLevel="0" collapsed="false">
      <c r="A437" s="0" t="str">
        <f aca="false">CONCATENATE("__import__.res_partner_",C437)</f>
        <v>__import__.res_partner_20000010177</v>
      </c>
      <c r="B437" s="2" t="s">
        <v>4078</v>
      </c>
      <c r="C437" s="3" t="s">
        <v>4079</v>
      </c>
      <c r="D437" s="2" t="s">
        <v>4080</v>
      </c>
      <c r="F437" s="2" t="s">
        <v>30</v>
      </c>
      <c r="G437" s="2" t="s">
        <v>31</v>
      </c>
      <c r="H437" s="2" t="s">
        <v>32</v>
      </c>
      <c r="K437" s="2" t="s">
        <v>4081</v>
      </c>
      <c r="L437" s="3" t="s">
        <v>4082</v>
      </c>
      <c r="M437" s="2" t="s">
        <v>4083</v>
      </c>
      <c r="O437" s="2" t="s">
        <v>3833</v>
      </c>
      <c r="P437" s="2" t="s">
        <v>37</v>
      </c>
      <c r="R437" s="2" t="s">
        <v>4084</v>
      </c>
      <c r="T437" s="2" t="s">
        <v>64</v>
      </c>
      <c r="X437" s="2" t="n">
        <v>10177</v>
      </c>
      <c r="Y437" s="2" t="s">
        <v>4080</v>
      </c>
      <c r="Z437" s="3" t="s">
        <v>4085</v>
      </c>
    </row>
    <row r="438" customFormat="false" ht="13.8" hidden="false" customHeight="false" outlineLevel="0" collapsed="false">
      <c r="A438" s="0" t="str">
        <f aca="false">CONCATENATE("__import__.res_partner_",C438)</f>
        <v>__import__.res_partner_20000010178</v>
      </c>
      <c r="B438" s="2" t="s">
        <v>4086</v>
      </c>
      <c r="C438" s="3" t="s">
        <v>4087</v>
      </c>
      <c r="D438" s="2" t="s">
        <v>4088</v>
      </c>
      <c r="F438" s="2" t="s">
        <v>30</v>
      </c>
      <c r="G438" s="2" t="s">
        <v>31</v>
      </c>
      <c r="H438" s="2" t="s">
        <v>32</v>
      </c>
      <c r="K438" s="2" t="s">
        <v>4089</v>
      </c>
      <c r="L438" s="3" t="s">
        <v>2317</v>
      </c>
      <c r="O438" s="2" t="s">
        <v>2319</v>
      </c>
      <c r="P438" s="2" t="s">
        <v>37</v>
      </c>
      <c r="Q438" s="2" t="s">
        <v>4090</v>
      </c>
      <c r="R438" s="2" t="s">
        <v>4091</v>
      </c>
      <c r="T438" s="2" t="s">
        <v>97</v>
      </c>
      <c r="X438" s="2" t="n">
        <v>10178</v>
      </c>
      <c r="Y438" s="2" t="s">
        <v>4088</v>
      </c>
      <c r="Z438" s="3" t="s">
        <v>4092</v>
      </c>
    </row>
    <row r="439" customFormat="false" ht="13.8" hidden="false" customHeight="false" outlineLevel="0" collapsed="false">
      <c r="A439" s="0" t="str">
        <f aca="false">CONCATENATE("__import__.res_partner_",C439)</f>
        <v>__import__.res_partner_20000010179</v>
      </c>
      <c r="B439" s="2" t="s">
        <v>4093</v>
      </c>
      <c r="C439" s="3" t="s">
        <v>4094</v>
      </c>
      <c r="D439" s="2" t="s">
        <v>4095</v>
      </c>
      <c r="F439" s="2" t="s">
        <v>30</v>
      </c>
      <c r="G439" s="2" t="s">
        <v>31</v>
      </c>
      <c r="H439" s="2" t="s">
        <v>32</v>
      </c>
      <c r="K439" s="2" t="s">
        <v>4096</v>
      </c>
      <c r="L439" s="3" t="s">
        <v>4097</v>
      </c>
      <c r="M439" s="2" t="s">
        <v>4098</v>
      </c>
      <c r="O439" s="2" t="s">
        <v>2811</v>
      </c>
      <c r="P439" s="2" t="s">
        <v>37</v>
      </c>
      <c r="Q439" s="2" t="s">
        <v>4099</v>
      </c>
      <c r="R439" s="2" t="s">
        <v>4100</v>
      </c>
      <c r="T439" s="2" t="s">
        <v>97</v>
      </c>
      <c r="X439" s="2" t="n">
        <v>10179</v>
      </c>
      <c r="Y439" s="2" t="s">
        <v>4095</v>
      </c>
      <c r="Z439" s="3" t="s">
        <v>4101</v>
      </c>
    </row>
    <row r="440" customFormat="false" ht="13.8" hidden="false" customHeight="false" outlineLevel="0" collapsed="false">
      <c r="A440" s="0" t="str">
        <f aca="false">CONCATENATE("__import__.res_partner_",C440)</f>
        <v>__import__.res_partner_20000010180</v>
      </c>
      <c r="B440" s="2" t="s">
        <v>4102</v>
      </c>
      <c r="C440" s="3" t="s">
        <v>4103</v>
      </c>
      <c r="D440" s="2" t="s">
        <v>4104</v>
      </c>
      <c r="F440" s="2" t="s">
        <v>30</v>
      </c>
      <c r="G440" s="2" t="s">
        <v>31</v>
      </c>
      <c r="H440" s="2" t="s">
        <v>32</v>
      </c>
      <c r="K440" s="2" t="s">
        <v>4105</v>
      </c>
      <c r="L440" s="3" t="s">
        <v>2781</v>
      </c>
      <c r="M440" s="2" t="s">
        <v>4106</v>
      </c>
      <c r="O440" s="2" t="s">
        <v>4107</v>
      </c>
      <c r="P440" s="2" t="s">
        <v>37</v>
      </c>
      <c r="Q440" s="2" t="s">
        <v>4108</v>
      </c>
      <c r="R440" s="2" t="s">
        <v>4109</v>
      </c>
      <c r="T440" s="2" t="s">
        <v>97</v>
      </c>
      <c r="X440" s="2" t="n">
        <v>10180</v>
      </c>
      <c r="Y440" s="2" t="s">
        <v>4110</v>
      </c>
      <c r="Z440" s="3" t="s">
        <v>4111</v>
      </c>
    </row>
    <row r="441" customFormat="false" ht="13.8" hidden="false" customHeight="false" outlineLevel="0" collapsed="false">
      <c r="A441" s="0" t="str">
        <f aca="false">CONCATENATE("__import__.res_partner_",C441)</f>
        <v>__import__.res_partner_20000010181</v>
      </c>
      <c r="B441" s="2" t="s">
        <v>4112</v>
      </c>
      <c r="C441" s="3" t="s">
        <v>4113</v>
      </c>
      <c r="D441" s="2" t="s">
        <v>4114</v>
      </c>
      <c r="F441" s="3" t="s">
        <v>557</v>
      </c>
      <c r="G441" s="2" t="s">
        <v>31</v>
      </c>
      <c r="H441" s="2" t="s">
        <v>32</v>
      </c>
      <c r="K441" s="2" t="s">
        <v>4115</v>
      </c>
      <c r="L441" s="3" t="s">
        <v>4116</v>
      </c>
      <c r="M441" s="2" t="s">
        <v>4117</v>
      </c>
      <c r="O441" s="2" t="s">
        <v>2754</v>
      </c>
      <c r="P441" s="2" t="s">
        <v>37</v>
      </c>
      <c r="Q441" s="2" t="s">
        <v>4118</v>
      </c>
      <c r="R441" s="2" t="s">
        <v>4119</v>
      </c>
      <c r="T441" s="2" t="s">
        <v>76</v>
      </c>
      <c r="X441" s="2" t="n">
        <v>10181</v>
      </c>
      <c r="Y441" s="2" t="s">
        <v>4114</v>
      </c>
      <c r="Z441" s="3" t="s">
        <v>4120</v>
      </c>
    </row>
    <row r="442" customFormat="false" ht="13.8" hidden="false" customHeight="false" outlineLevel="0" collapsed="false">
      <c r="A442" s="0" t="str">
        <f aca="false">CONCATENATE("__import__.res_partner_",C442)</f>
        <v>__import__.res_partner_20000010182</v>
      </c>
      <c r="B442" s="2" t="s">
        <v>4121</v>
      </c>
      <c r="C442" s="3" t="s">
        <v>4122</v>
      </c>
      <c r="D442" s="2" t="s">
        <v>4123</v>
      </c>
      <c r="F442" s="2" t="s">
        <v>30</v>
      </c>
      <c r="G442" s="2" t="s">
        <v>31</v>
      </c>
      <c r="H442" s="2" t="s">
        <v>32</v>
      </c>
      <c r="K442" s="2" t="s">
        <v>4124</v>
      </c>
      <c r="L442" s="3" t="s">
        <v>3084</v>
      </c>
      <c r="M442" s="2" t="s">
        <v>4125</v>
      </c>
      <c r="O442" s="2" t="s">
        <v>4126</v>
      </c>
      <c r="P442" s="2" t="s">
        <v>37</v>
      </c>
      <c r="Q442" s="2" t="s">
        <v>4127</v>
      </c>
      <c r="R442" s="2" t="s">
        <v>4128</v>
      </c>
      <c r="T442" s="2" t="s">
        <v>40</v>
      </c>
      <c r="X442" s="2" t="n">
        <v>10182</v>
      </c>
      <c r="Y442" s="2" t="s">
        <v>4123</v>
      </c>
      <c r="Z442" s="3" t="s">
        <v>4129</v>
      </c>
    </row>
    <row r="443" customFormat="false" ht="13.8" hidden="false" customHeight="false" outlineLevel="0" collapsed="false">
      <c r="A443" s="0" t="str">
        <f aca="false">CONCATENATE("__import__.res_partner_",C443)</f>
        <v>__import__.res_partner_20000010183</v>
      </c>
      <c r="B443" s="2" t="s">
        <v>4130</v>
      </c>
      <c r="C443" s="3" t="s">
        <v>4131</v>
      </c>
      <c r="D443" s="2" t="s">
        <v>4132</v>
      </c>
      <c r="F443" s="2" t="s">
        <v>30</v>
      </c>
      <c r="G443" s="2" t="s">
        <v>31</v>
      </c>
      <c r="H443" s="2" t="s">
        <v>32</v>
      </c>
      <c r="K443" s="2" t="s">
        <v>4133</v>
      </c>
      <c r="L443" s="3" t="s">
        <v>3054</v>
      </c>
      <c r="M443" s="2" t="s">
        <v>4134</v>
      </c>
      <c r="O443" s="2" t="s">
        <v>3056</v>
      </c>
      <c r="P443" s="2" t="s">
        <v>37</v>
      </c>
      <c r="Q443" s="2" t="s">
        <v>4135</v>
      </c>
      <c r="R443" s="2" t="s">
        <v>4136</v>
      </c>
      <c r="T443" s="2" t="s">
        <v>64</v>
      </c>
      <c r="X443" s="2" t="n">
        <v>10183</v>
      </c>
      <c r="Y443" s="2" t="s">
        <v>4132</v>
      </c>
      <c r="Z443" s="3" t="s">
        <v>4137</v>
      </c>
    </row>
    <row r="444" customFormat="false" ht="13.8" hidden="false" customHeight="false" outlineLevel="0" collapsed="false">
      <c r="A444" s="0" t="str">
        <f aca="false">CONCATENATE("__import__.res_partner_",C444)</f>
        <v>__import__.res_partner_20000010186</v>
      </c>
      <c r="B444" s="2" t="s">
        <v>4138</v>
      </c>
      <c r="C444" s="3" t="s">
        <v>4139</v>
      </c>
      <c r="D444" s="2" t="s">
        <v>4140</v>
      </c>
      <c r="F444" s="2" t="s">
        <v>30</v>
      </c>
      <c r="G444" s="2" t="s">
        <v>31</v>
      </c>
      <c r="H444" s="2" t="s">
        <v>32</v>
      </c>
      <c r="K444" s="2" t="s">
        <v>4141</v>
      </c>
      <c r="M444" s="2" t="s">
        <v>4142</v>
      </c>
      <c r="O444" s="2" t="s">
        <v>4143</v>
      </c>
      <c r="P444" s="2" t="s">
        <v>37</v>
      </c>
      <c r="R444" s="2" t="s">
        <v>4144</v>
      </c>
      <c r="T444" s="2" t="s">
        <v>97</v>
      </c>
      <c r="X444" s="2" t="n">
        <v>10186</v>
      </c>
      <c r="Y444" s="2" t="s">
        <v>4140</v>
      </c>
      <c r="Z444" s="3" t="s">
        <v>4145</v>
      </c>
    </row>
    <row r="445" customFormat="false" ht="13.8" hidden="false" customHeight="false" outlineLevel="0" collapsed="false">
      <c r="A445" s="0" t="str">
        <f aca="false">CONCATENATE("__import__.res_partner_",C445)</f>
        <v>__import__.res_partner_20000010188</v>
      </c>
      <c r="B445" s="2" t="s">
        <v>4146</v>
      </c>
      <c r="C445" s="3" t="s">
        <v>4147</v>
      </c>
      <c r="D445" s="2" t="s">
        <v>4148</v>
      </c>
      <c r="F445" s="2" t="s">
        <v>30</v>
      </c>
      <c r="G445" s="2" t="s">
        <v>31</v>
      </c>
      <c r="H445" s="2" t="s">
        <v>32</v>
      </c>
      <c r="K445" s="2" t="s">
        <v>4149</v>
      </c>
      <c r="L445" s="3" t="s">
        <v>4000</v>
      </c>
      <c r="M445" s="2" t="s">
        <v>4150</v>
      </c>
      <c r="O445" s="2" t="s">
        <v>4002</v>
      </c>
      <c r="P445" s="2" t="s">
        <v>37</v>
      </c>
      <c r="Q445" s="2" t="s">
        <v>4151</v>
      </c>
      <c r="R445" s="2" t="s">
        <v>4152</v>
      </c>
      <c r="T445" s="2" t="s">
        <v>97</v>
      </c>
      <c r="X445" s="2" t="n">
        <v>10188</v>
      </c>
      <c r="Y445" s="2" t="s">
        <v>4148</v>
      </c>
      <c r="Z445" s="3" t="s">
        <v>4153</v>
      </c>
    </row>
    <row r="446" customFormat="false" ht="13.8" hidden="false" customHeight="false" outlineLevel="0" collapsed="false">
      <c r="A446" s="0" t="str">
        <f aca="false">CONCATENATE("__import__.res_partner_",C446)</f>
        <v>__import__.res_partner_20000010189</v>
      </c>
      <c r="B446" s="2" t="s">
        <v>4154</v>
      </c>
      <c r="C446" s="3" t="s">
        <v>4155</v>
      </c>
      <c r="D446" s="2" t="s">
        <v>4156</v>
      </c>
      <c r="F446" s="2" t="s">
        <v>30</v>
      </c>
      <c r="G446" s="2" t="s">
        <v>31</v>
      </c>
      <c r="H446" s="2" t="s">
        <v>32</v>
      </c>
      <c r="K446" s="2" t="s">
        <v>4157</v>
      </c>
      <c r="L446" s="3" t="s">
        <v>4158</v>
      </c>
      <c r="M446" s="2" t="s">
        <v>4159</v>
      </c>
      <c r="O446" s="2" t="s">
        <v>4160</v>
      </c>
      <c r="P446" s="2" t="s">
        <v>37</v>
      </c>
      <c r="Q446" s="2" t="s">
        <v>4161</v>
      </c>
      <c r="R446" s="2" t="s">
        <v>4162</v>
      </c>
      <c r="T446" s="2" t="s">
        <v>97</v>
      </c>
      <c r="X446" s="2" t="n">
        <v>10189</v>
      </c>
      <c r="Y446" s="2" t="s">
        <v>4156</v>
      </c>
      <c r="Z446" s="3" t="s">
        <v>4163</v>
      </c>
    </row>
    <row r="447" customFormat="false" ht="13.8" hidden="false" customHeight="false" outlineLevel="0" collapsed="false">
      <c r="A447" s="0" t="str">
        <f aca="false">CONCATENATE("__import__.res_partner_",C447)</f>
        <v>__import__.res_partner_20000010191</v>
      </c>
      <c r="B447" s="2" t="s">
        <v>4164</v>
      </c>
      <c r="C447" s="3" t="s">
        <v>4165</v>
      </c>
      <c r="D447" s="2" t="s">
        <v>4166</v>
      </c>
      <c r="F447" s="2" t="s">
        <v>30</v>
      </c>
      <c r="G447" s="2" t="s">
        <v>31</v>
      </c>
      <c r="H447" s="2" t="s">
        <v>32</v>
      </c>
      <c r="K447" s="2" t="s">
        <v>4167</v>
      </c>
      <c r="L447" s="3" t="s">
        <v>4168</v>
      </c>
      <c r="M447" s="2" t="s">
        <v>4169</v>
      </c>
      <c r="O447" s="2" t="s">
        <v>4170</v>
      </c>
      <c r="P447" s="2" t="s">
        <v>563</v>
      </c>
      <c r="Q447" s="2" t="s">
        <v>3108</v>
      </c>
      <c r="R447" s="2" t="s">
        <v>4171</v>
      </c>
      <c r="T447" s="2" t="s">
        <v>97</v>
      </c>
      <c r="X447" s="2" t="n">
        <v>10191</v>
      </c>
      <c r="Y447" s="2" t="s">
        <v>4166</v>
      </c>
      <c r="Z447" s="3" t="s">
        <v>4172</v>
      </c>
      <c r="AA447" s="2" t="s">
        <v>4173</v>
      </c>
    </row>
    <row r="448" customFormat="false" ht="13.8" hidden="false" customHeight="false" outlineLevel="0" collapsed="false">
      <c r="A448" s="0" t="str">
        <f aca="false">CONCATENATE("__import__.res_partner_",C448)</f>
        <v>__import__.res_partner_20000010193</v>
      </c>
      <c r="B448" s="2" t="s">
        <v>4174</v>
      </c>
      <c r="C448" s="3" t="s">
        <v>4175</v>
      </c>
      <c r="D448" s="2" t="s">
        <v>4176</v>
      </c>
      <c r="F448" s="2" t="s">
        <v>30</v>
      </c>
      <c r="G448" s="2" t="s">
        <v>31</v>
      </c>
      <c r="H448" s="2" t="s">
        <v>32</v>
      </c>
      <c r="K448" s="2" t="s">
        <v>4177</v>
      </c>
      <c r="L448" s="3" t="s">
        <v>2121</v>
      </c>
      <c r="M448" s="2" t="s">
        <v>4178</v>
      </c>
      <c r="O448" s="2" t="s">
        <v>4179</v>
      </c>
      <c r="P448" s="2" t="s">
        <v>37</v>
      </c>
      <c r="R448" s="2" t="s">
        <v>4180</v>
      </c>
      <c r="T448" s="2" t="s">
        <v>64</v>
      </c>
      <c r="X448" s="2" t="n">
        <v>10193</v>
      </c>
      <c r="Y448" s="2" t="s">
        <v>4176</v>
      </c>
      <c r="Z448" s="3" t="s">
        <v>4181</v>
      </c>
    </row>
    <row r="449" customFormat="false" ht="13.8" hidden="false" customHeight="false" outlineLevel="0" collapsed="false">
      <c r="A449" s="0" t="str">
        <f aca="false">CONCATENATE("__import__.res_partner_",C449)</f>
        <v>__import__.res_partner_20000010194</v>
      </c>
      <c r="B449" s="2" t="s">
        <v>4182</v>
      </c>
      <c r="C449" s="3" t="s">
        <v>4183</v>
      </c>
      <c r="D449" s="2" t="s">
        <v>4184</v>
      </c>
      <c r="F449" s="2" t="s">
        <v>30</v>
      </c>
      <c r="G449" s="2" t="s">
        <v>31</v>
      </c>
      <c r="H449" s="2" t="s">
        <v>32</v>
      </c>
      <c r="K449" s="2" t="s">
        <v>4185</v>
      </c>
      <c r="L449" s="3" t="s">
        <v>2799</v>
      </c>
      <c r="M449" s="2" t="s">
        <v>4186</v>
      </c>
      <c r="O449" s="2" t="s">
        <v>2801</v>
      </c>
      <c r="P449" s="2" t="s">
        <v>37</v>
      </c>
      <c r="Q449" s="2" t="s">
        <v>4187</v>
      </c>
      <c r="R449" s="2" t="s">
        <v>4188</v>
      </c>
      <c r="T449" s="2" t="s">
        <v>97</v>
      </c>
      <c r="X449" s="2" t="n">
        <v>10194</v>
      </c>
      <c r="Y449" s="2" t="s">
        <v>4184</v>
      </c>
      <c r="Z449" s="3" t="s">
        <v>4189</v>
      </c>
    </row>
    <row r="450" customFormat="false" ht="13.8" hidden="false" customHeight="false" outlineLevel="0" collapsed="false">
      <c r="A450" s="0" t="str">
        <f aca="false">CONCATENATE("__import__.res_partner_",C450)</f>
        <v>__import__.res_partner_20000010195</v>
      </c>
      <c r="B450" s="2" t="s">
        <v>4190</v>
      </c>
      <c r="C450" s="3" t="s">
        <v>4191</v>
      </c>
      <c r="D450" s="2" t="s">
        <v>4192</v>
      </c>
      <c r="F450" s="2" t="s">
        <v>30</v>
      </c>
      <c r="G450" s="2" t="s">
        <v>31</v>
      </c>
      <c r="H450" s="2" t="s">
        <v>32</v>
      </c>
      <c r="K450" s="2" t="s">
        <v>4193</v>
      </c>
      <c r="L450" s="3" t="s">
        <v>4194</v>
      </c>
      <c r="M450" s="2" t="s">
        <v>4195</v>
      </c>
      <c r="O450" s="2" t="s">
        <v>2754</v>
      </c>
      <c r="P450" s="2" t="s">
        <v>37</v>
      </c>
      <c r="Q450" s="2" t="s">
        <v>4196</v>
      </c>
      <c r="R450" s="2" t="s">
        <v>4197</v>
      </c>
      <c r="T450" s="2" t="s">
        <v>697</v>
      </c>
      <c r="X450" s="2" t="n">
        <v>10195</v>
      </c>
      <c r="Y450" s="2" t="s">
        <v>4192</v>
      </c>
      <c r="Z450" s="3" t="s">
        <v>4198</v>
      </c>
    </row>
    <row r="451" customFormat="false" ht="13.8" hidden="false" customHeight="false" outlineLevel="0" collapsed="false">
      <c r="A451" s="0" t="str">
        <f aca="false">CONCATENATE("__import__.res_partner_",C451)</f>
        <v>__import__.res_partner_20000010196</v>
      </c>
      <c r="B451" s="2" t="s">
        <v>4199</v>
      </c>
      <c r="C451" s="3" t="s">
        <v>4200</v>
      </c>
      <c r="D451" s="2" t="s">
        <v>4201</v>
      </c>
      <c r="F451" s="3" t="s">
        <v>557</v>
      </c>
      <c r="G451" s="2" t="s">
        <v>31</v>
      </c>
      <c r="H451" s="2" t="s">
        <v>32</v>
      </c>
      <c r="K451" s="2" t="s">
        <v>4202</v>
      </c>
      <c r="L451" s="3" t="s">
        <v>4203</v>
      </c>
      <c r="M451" s="2" t="s">
        <v>4204</v>
      </c>
      <c r="O451" s="2" t="s">
        <v>2754</v>
      </c>
      <c r="P451" s="2" t="s">
        <v>37</v>
      </c>
      <c r="R451" s="2" t="s">
        <v>4205</v>
      </c>
      <c r="T451" s="2" t="s">
        <v>880</v>
      </c>
      <c r="X451" s="2" t="n">
        <v>10196</v>
      </c>
      <c r="Y451" s="2" t="s">
        <v>4201</v>
      </c>
      <c r="Z451" s="3" t="s">
        <v>4206</v>
      </c>
    </row>
    <row r="452" customFormat="false" ht="13.8" hidden="false" customHeight="false" outlineLevel="0" collapsed="false">
      <c r="A452" s="0" t="str">
        <f aca="false">CONCATENATE("__import__.res_partner_",C452)</f>
        <v>__import__.res_partner_20000010200</v>
      </c>
      <c r="B452" s="2" t="s">
        <v>4207</v>
      </c>
      <c r="C452" s="3" t="s">
        <v>4208</v>
      </c>
      <c r="D452" s="2" t="s">
        <v>4209</v>
      </c>
      <c r="F452" s="2" t="s">
        <v>30</v>
      </c>
      <c r="G452" s="2" t="s">
        <v>31</v>
      </c>
      <c r="H452" s="2" t="s">
        <v>32</v>
      </c>
      <c r="K452" s="2" t="s">
        <v>4210</v>
      </c>
      <c r="L452" s="3" t="s">
        <v>2763</v>
      </c>
      <c r="M452" s="2" t="s">
        <v>4211</v>
      </c>
      <c r="O452" s="2" t="s">
        <v>2765</v>
      </c>
      <c r="P452" s="2" t="s">
        <v>37</v>
      </c>
      <c r="R452" s="2" t="s">
        <v>4212</v>
      </c>
      <c r="T452" s="2" t="s">
        <v>76</v>
      </c>
      <c r="X452" s="2" t="n">
        <v>10200</v>
      </c>
      <c r="Y452" s="2" t="s">
        <v>4209</v>
      </c>
      <c r="Z452" s="3" t="s">
        <v>4213</v>
      </c>
    </row>
    <row r="453" customFormat="false" ht="13.8" hidden="false" customHeight="false" outlineLevel="0" collapsed="false">
      <c r="A453" s="0" t="str">
        <f aca="false">CONCATENATE("__import__.res_partner_",C453)</f>
        <v>__import__.res_partner_20000010203</v>
      </c>
      <c r="B453" s="2" t="s">
        <v>4214</v>
      </c>
      <c r="C453" s="3" t="s">
        <v>4215</v>
      </c>
      <c r="D453" s="2" t="s">
        <v>4216</v>
      </c>
      <c r="F453" s="2" t="s">
        <v>30</v>
      </c>
      <c r="G453" s="2" t="s">
        <v>31</v>
      </c>
      <c r="H453" s="2" t="s">
        <v>32</v>
      </c>
      <c r="K453" s="2" t="s">
        <v>4217</v>
      </c>
      <c r="L453" s="3" t="s">
        <v>4218</v>
      </c>
      <c r="M453" s="2" t="s">
        <v>4219</v>
      </c>
      <c r="O453" s="2" t="s">
        <v>2754</v>
      </c>
      <c r="P453" s="2" t="s">
        <v>37</v>
      </c>
      <c r="R453" s="2" t="s">
        <v>4220</v>
      </c>
      <c r="T453" s="2" t="s">
        <v>97</v>
      </c>
      <c r="X453" s="2" t="n">
        <v>10203</v>
      </c>
      <c r="Y453" s="2" t="s">
        <v>4216</v>
      </c>
      <c r="Z453" s="3" t="s">
        <v>4221</v>
      </c>
    </row>
    <row r="454" customFormat="false" ht="13.8" hidden="false" customHeight="false" outlineLevel="0" collapsed="false">
      <c r="A454" s="0" t="str">
        <f aca="false">CONCATENATE("__import__.res_partner_",C454)</f>
        <v>__import__.res_partner_20000010204</v>
      </c>
      <c r="B454" s="2" t="s">
        <v>4222</v>
      </c>
      <c r="C454" s="3" t="s">
        <v>4223</v>
      </c>
      <c r="D454" s="2" t="s">
        <v>4224</v>
      </c>
      <c r="F454" s="2" t="s">
        <v>30</v>
      </c>
      <c r="G454" s="2" t="s">
        <v>31</v>
      </c>
      <c r="H454" s="2" t="s">
        <v>32</v>
      </c>
      <c r="K454" s="2" t="s">
        <v>4225</v>
      </c>
      <c r="L454" s="3" t="s">
        <v>3003</v>
      </c>
      <c r="M454" s="2" t="s">
        <v>4226</v>
      </c>
      <c r="O454" s="2" t="s">
        <v>2754</v>
      </c>
      <c r="P454" s="2" t="s">
        <v>37</v>
      </c>
      <c r="R454" s="2" t="s">
        <v>4227</v>
      </c>
      <c r="T454" s="2" t="s">
        <v>76</v>
      </c>
      <c r="X454" s="2" t="n">
        <v>10204</v>
      </c>
      <c r="Y454" s="2" t="s">
        <v>4224</v>
      </c>
      <c r="Z454" s="3" t="s">
        <v>4228</v>
      </c>
    </row>
    <row r="455" customFormat="false" ht="13.8" hidden="false" customHeight="false" outlineLevel="0" collapsed="false">
      <c r="A455" s="0" t="str">
        <f aca="false">CONCATENATE("__import__.res_partner_",C455)</f>
        <v>__import__.res_partner_20000010211</v>
      </c>
      <c r="B455" s="2" t="s">
        <v>4229</v>
      </c>
      <c r="C455" s="3" t="s">
        <v>4230</v>
      </c>
      <c r="D455" s="2" t="s">
        <v>4231</v>
      </c>
      <c r="F455" s="2" t="s">
        <v>30</v>
      </c>
      <c r="G455" s="2" t="s">
        <v>31</v>
      </c>
      <c r="H455" s="2" t="s">
        <v>32</v>
      </c>
      <c r="K455" s="2" t="s">
        <v>4232</v>
      </c>
      <c r="L455" s="3" t="s">
        <v>4233</v>
      </c>
      <c r="M455" s="2" t="s">
        <v>4234</v>
      </c>
      <c r="O455" s="2" t="s">
        <v>106</v>
      </c>
      <c r="P455" s="2" t="s">
        <v>37</v>
      </c>
      <c r="Q455" s="2" t="s">
        <v>4235</v>
      </c>
      <c r="R455" s="2" t="s">
        <v>4236</v>
      </c>
      <c r="T455" s="2" t="s">
        <v>108</v>
      </c>
      <c r="X455" s="2" t="n">
        <v>10211</v>
      </c>
      <c r="Y455" s="2" t="s">
        <v>4231</v>
      </c>
      <c r="Z455" s="3" t="s">
        <v>4237</v>
      </c>
    </row>
    <row r="456" customFormat="false" ht="13.8" hidden="false" customHeight="false" outlineLevel="0" collapsed="false">
      <c r="A456" s="0" t="str">
        <f aca="false">CONCATENATE("__import__.res_partner_",C456)</f>
        <v>__import__.res_partner_20000010219</v>
      </c>
      <c r="B456" s="2" t="s">
        <v>4238</v>
      </c>
      <c r="C456" s="3" t="s">
        <v>4239</v>
      </c>
      <c r="D456" s="2" t="s">
        <v>4240</v>
      </c>
      <c r="F456" s="2" t="s">
        <v>30</v>
      </c>
      <c r="G456" s="2" t="s">
        <v>31</v>
      </c>
      <c r="H456" s="2" t="s">
        <v>32</v>
      </c>
      <c r="K456" s="2" t="s">
        <v>4241</v>
      </c>
      <c r="L456" s="3" t="s">
        <v>4242</v>
      </c>
      <c r="M456" s="2" t="s">
        <v>4243</v>
      </c>
      <c r="O456" s="2" t="s">
        <v>1585</v>
      </c>
      <c r="P456" s="2" t="s">
        <v>37</v>
      </c>
      <c r="R456" s="3" t="s">
        <v>4244</v>
      </c>
      <c r="T456" s="2" t="s">
        <v>40</v>
      </c>
      <c r="X456" s="2" t="n">
        <v>10219</v>
      </c>
      <c r="Y456" s="2" t="s">
        <v>4240</v>
      </c>
      <c r="Z456" s="3" t="s">
        <v>4245</v>
      </c>
    </row>
    <row r="457" customFormat="false" ht="13.8" hidden="false" customHeight="false" outlineLevel="0" collapsed="false">
      <c r="A457" s="0" t="str">
        <f aca="false">CONCATENATE("__import__.res_partner_",C457)</f>
        <v>__import__.res_partner_20000010220</v>
      </c>
      <c r="B457" s="2" t="s">
        <v>4246</v>
      </c>
      <c r="C457" s="3" t="s">
        <v>4247</v>
      </c>
      <c r="D457" s="2" t="s">
        <v>4248</v>
      </c>
      <c r="F457" s="2" t="s">
        <v>30</v>
      </c>
      <c r="G457" s="2" t="s">
        <v>31</v>
      </c>
      <c r="H457" s="2" t="s">
        <v>32</v>
      </c>
      <c r="K457" s="2" t="s">
        <v>4249</v>
      </c>
      <c r="L457" s="3" t="s">
        <v>4250</v>
      </c>
      <c r="M457" s="2" t="s">
        <v>4251</v>
      </c>
      <c r="O457" s="2" t="s">
        <v>1227</v>
      </c>
      <c r="P457" s="2" t="s">
        <v>37</v>
      </c>
      <c r="Q457" s="2" t="s">
        <v>4252</v>
      </c>
      <c r="R457" s="2" t="s">
        <v>4253</v>
      </c>
      <c r="T457" s="2" t="s">
        <v>697</v>
      </c>
      <c r="X457" s="2" t="n">
        <v>10220</v>
      </c>
      <c r="Y457" s="2" t="s">
        <v>4254</v>
      </c>
      <c r="Z457" s="3" t="s">
        <v>4255</v>
      </c>
    </row>
    <row r="458" customFormat="false" ht="13.8" hidden="false" customHeight="false" outlineLevel="0" collapsed="false">
      <c r="A458" s="0" t="str">
        <f aca="false">CONCATENATE("__import__.res_partner_",C458)</f>
        <v>__import__.res_partner_20000010221</v>
      </c>
      <c r="B458" s="2" t="s">
        <v>4256</v>
      </c>
      <c r="C458" s="3" t="s">
        <v>4257</v>
      </c>
      <c r="D458" s="2" t="s">
        <v>4258</v>
      </c>
      <c r="F458" s="2" t="s">
        <v>30</v>
      </c>
      <c r="G458" s="2" t="s">
        <v>31</v>
      </c>
      <c r="H458" s="2" t="s">
        <v>32</v>
      </c>
      <c r="K458" s="2" t="s">
        <v>4259</v>
      </c>
      <c r="L458" s="3" t="s">
        <v>3672</v>
      </c>
      <c r="M458" s="2" t="s">
        <v>4260</v>
      </c>
      <c r="O458" s="2" t="s">
        <v>3674</v>
      </c>
      <c r="P458" s="2" t="s">
        <v>37</v>
      </c>
      <c r="Q458" s="2" t="s">
        <v>4261</v>
      </c>
      <c r="R458" s="2" t="s">
        <v>4262</v>
      </c>
      <c r="T458" s="2" t="s">
        <v>40</v>
      </c>
      <c r="X458" s="2" t="n">
        <v>10221</v>
      </c>
      <c r="Y458" s="2" t="s">
        <v>4258</v>
      </c>
      <c r="Z458" s="3" t="s">
        <v>4263</v>
      </c>
    </row>
    <row r="459" customFormat="false" ht="13.8" hidden="false" customHeight="false" outlineLevel="0" collapsed="false">
      <c r="A459" s="0" t="str">
        <f aca="false">CONCATENATE("__import__.res_partner_",C459)</f>
        <v>__import__.res_partner_20000010222</v>
      </c>
      <c r="B459" s="2" t="s">
        <v>4264</v>
      </c>
      <c r="C459" s="3" t="s">
        <v>4265</v>
      </c>
      <c r="D459" s="2" t="s">
        <v>4266</v>
      </c>
      <c r="F459" s="2" t="s">
        <v>30</v>
      </c>
      <c r="G459" s="2" t="s">
        <v>31</v>
      </c>
      <c r="H459" s="2" t="s">
        <v>32</v>
      </c>
      <c r="K459" s="2" t="s">
        <v>4267</v>
      </c>
      <c r="L459" s="3" t="s">
        <v>497</v>
      </c>
      <c r="M459" s="2" t="s">
        <v>4268</v>
      </c>
      <c r="O459" s="2" t="s">
        <v>499</v>
      </c>
      <c r="P459" s="2" t="s">
        <v>37</v>
      </c>
      <c r="Q459" s="2" t="s">
        <v>4269</v>
      </c>
      <c r="R459" s="2" t="s">
        <v>4270</v>
      </c>
      <c r="T459" s="2" t="s">
        <v>97</v>
      </c>
      <c r="V459" s="2" t="s">
        <v>4271</v>
      </c>
      <c r="W459" s="2" t="s">
        <v>4272</v>
      </c>
      <c r="X459" s="2" t="n">
        <v>10222</v>
      </c>
      <c r="Y459" s="2" t="s">
        <v>4266</v>
      </c>
      <c r="Z459" s="3" t="s">
        <v>4273</v>
      </c>
    </row>
    <row r="460" customFormat="false" ht="13.8" hidden="false" customHeight="false" outlineLevel="0" collapsed="false">
      <c r="A460" s="0" t="str">
        <f aca="false">CONCATENATE("__import__.res_partner_",C460)</f>
        <v>__import__.res_partner_20000010223</v>
      </c>
      <c r="B460" s="2" t="s">
        <v>4274</v>
      </c>
      <c r="C460" s="3" t="s">
        <v>4275</v>
      </c>
      <c r="D460" s="2" t="s">
        <v>4276</v>
      </c>
      <c r="F460" s="2" t="s">
        <v>30</v>
      </c>
      <c r="G460" s="2" t="s">
        <v>31</v>
      </c>
      <c r="H460" s="2" t="s">
        <v>32</v>
      </c>
      <c r="K460" s="2" t="s">
        <v>4277</v>
      </c>
      <c r="L460" s="3" t="s">
        <v>3137</v>
      </c>
      <c r="M460" s="2" t="s">
        <v>4278</v>
      </c>
      <c r="O460" s="2" t="s">
        <v>4279</v>
      </c>
      <c r="P460" s="2" t="s">
        <v>37</v>
      </c>
      <c r="Q460" s="2" t="s">
        <v>4280</v>
      </c>
      <c r="R460" s="2" t="s">
        <v>4281</v>
      </c>
      <c r="T460" s="2" t="s">
        <v>108</v>
      </c>
      <c r="X460" s="2" t="n">
        <v>10223</v>
      </c>
      <c r="Y460" s="2" t="s">
        <v>4282</v>
      </c>
      <c r="Z460" s="3" t="s">
        <v>4283</v>
      </c>
    </row>
    <row r="461" customFormat="false" ht="13.8" hidden="false" customHeight="false" outlineLevel="0" collapsed="false">
      <c r="A461" s="0" t="str">
        <f aca="false">CONCATENATE("__import__.res_partner_",C461)</f>
        <v>__import__.res_partner_20000010224</v>
      </c>
      <c r="B461" s="2" t="s">
        <v>4284</v>
      </c>
      <c r="C461" s="3" t="s">
        <v>4285</v>
      </c>
      <c r="D461" s="2" t="s">
        <v>4286</v>
      </c>
      <c r="F461" s="2" t="s">
        <v>30</v>
      </c>
      <c r="G461" s="2" t="s">
        <v>31</v>
      </c>
      <c r="H461" s="2" t="s">
        <v>32</v>
      </c>
      <c r="K461" s="2" t="s">
        <v>4287</v>
      </c>
      <c r="L461" s="3" t="s">
        <v>767</v>
      </c>
      <c r="M461" s="2" t="s">
        <v>4288</v>
      </c>
      <c r="O461" s="2" t="s">
        <v>4289</v>
      </c>
      <c r="P461" s="2" t="s">
        <v>37</v>
      </c>
      <c r="Q461" s="2" t="s">
        <v>4290</v>
      </c>
      <c r="R461" s="2" t="s">
        <v>4291</v>
      </c>
      <c r="T461" s="2" t="s">
        <v>697</v>
      </c>
      <c r="X461" s="2" t="n">
        <v>10224</v>
      </c>
      <c r="Y461" s="2" t="s">
        <v>4292</v>
      </c>
      <c r="Z461" s="3" t="s">
        <v>4293</v>
      </c>
    </row>
    <row r="462" customFormat="false" ht="13.8" hidden="false" customHeight="false" outlineLevel="0" collapsed="false">
      <c r="A462" s="0" t="str">
        <f aca="false">CONCATENATE("__import__.res_partner_",C462)</f>
        <v>__import__.res_partner_20000010225</v>
      </c>
      <c r="B462" s="2" t="s">
        <v>4294</v>
      </c>
      <c r="C462" s="3" t="s">
        <v>4295</v>
      </c>
      <c r="D462" s="2" t="s">
        <v>4296</v>
      </c>
      <c r="F462" s="2" t="s">
        <v>30</v>
      </c>
      <c r="G462" s="2" t="s">
        <v>31</v>
      </c>
      <c r="H462" s="2" t="s">
        <v>32</v>
      </c>
      <c r="K462" s="2" t="s">
        <v>4297</v>
      </c>
      <c r="L462" s="3" t="s">
        <v>3861</v>
      </c>
      <c r="M462" s="2" t="s">
        <v>4298</v>
      </c>
      <c r="O462" s="2" t="s">
        <v>2754</v>
      </c>
      <c r="P462" s="2" t="s">
        <v>37</v>
      </c>
      <c r="R462" s="2" t="s">
        <v>4299</v>
      </c>
      <c r="T462" s="2" t="s">
        <v>76</v>
      </c>
      <c r="X462" s="2" t="n">
        <v>10225</v>
      </c>
      <c r="Y462" s="2" t="s">
        <v>4300</v>
      </c>
      <c r="Z462" s="3" t="s">
        <v>4301</v>
      </c>
    </row>
    <row r="463" customFormat="false" ht="13.8" hidden="false" customHeight="false" outlineLevel="0" collapsed="false">
      <c r="A463" s="0" t="str">
        <f aca="false">CONCATENATE("__import__.res_partner_",C463)</f>
        <v>__import__.res_partner_20000010227</v>
      </c>
      <c r="B463" s="2" t="s">
        <v>4302</v>
      </c>
      <c r="C463" s="3" t="s">
        <v>4303</v>
      </c>
      <c r="D463" s="2" t="s">
        <v>4304</v>
      </c>
      <c r="F463" s="2" t="s">
        <v>30</v>
      </c>
      <c r="G463" s="2" t="s">
        <v>31</v>
      </c>
      <c r="H463" s="2" t="s">
        <v>32</v>
      </c>
      <c r="K463" s="2" t="s">
        <v>4305</v>
      </c>
      <c r="L463" s="3" t="s">
        <v>1225</v>
      </c>
      <c r="M463" s="2" t="s">
        <v>4306</v>
      </c>
      <c r="O463" s="2" t="s">
        <v>1227</v>
      </c>
      <c r="P463" s="2" t="s">
        <v>37</v>
      </c>
      <c r="T463" s="2" t="s">
        <v>697</v>
      </c>
      <c r="X463" s="2" t="n">
        <v>10227</v>
      </c>
      <c r="Y463" s="2" t="s">
        <v>4307</v>
      </c>
      <c r="Z463" s="3" t="s">
        <v>4308</v>
      </c>
    </row>
    <row r="464" customFormat="false" ht="13.8" hidden="false" customHeight="false" outlineLevel="0" collapsed="false">
      <c r="A464" s="0" t="str">
        <f aca="false">CONCATENATE("__import__.res_partner_",C464)</f>
        <v>__import__.res_partner_20000010228</v>
      </c>
      <c r="B464" s="2" t="s">
        <v>4309</v>
      </c>
      <c r="C464" s="3" t="s">
        <v>4310</v>
      </c>
      <c r="D464" s="2" t="s">
        <v>4311</v>
      </c>
      <c r="F464" s="2" t="s">
        <v>30</v>
      </c>
      <c r="G464" s="2" t="s">
        <v>31</v>
      </c>
      <c r="H464" s="2" t="s">
        <v>32</v>
      </c>
      <c r="K464" s="2" t="s">
        <v>4312</v>
      </c>
      <c r="L464" s="3" t="s">
        <v>3073</v>
      </c>
      <c r="M464" s="2" t="s">
        <v>4313</v>
      </c>
      <c r="O464" s="2" t="s">
        <v>3570</v>
      </c>
      <c r="P464" s="2" t="s">
        <v>37</v>
      </c>
      <c r="Q464" s="2" t="s">
        <v>4314</v>
      </c>
      <c r="R464" s="2" t="s">
        <v>4315</v>
      </c>
      <c r="T464" s="2" t="s">
        <v>697</v>
      </c>
      <c r="X464" s="2" t="n">
        <v>10228</v>
      </c>
      <c r="Y464" s="2" t="s">
        <v>4316</v>
      </c>
      <c r="Z464" s="3" t="s">
        <v>4317</v>
      </c>
    </row>
    <row r="465" customFormat="false" ht="13.8" hidden="false" customHeight="false" outlineLevel="0" collapsed="false">
      <c r="A465" s="0" t="str">
        <f aca="false">CONCATENATE("__import__.res_partner_",C465)</f>
        <v>__import__.res_partner_20000010229</v>
      </c>
      <c r="B465" s="2" t="s">
        <v>4318</v>
      </c>
      <c r="C465" s="3" t="s">
        <v>4319</v>
      </c>
      <c r="D465" s="2" t="s">
        <v>4320</v>
      </c>
      <c r="F465" s="2" t="s">
        <v>30</v>
      </c>
      <c r="G465" s="2" t="s">
        <v>31</v>
      </c>
      <c r="H465" s="2" t="s">
        <v>32</v>
      </c>
      <c r="K465" s="2" t="s">
        <v>4321</v>
      </c>
      <c r="L465" s="3" t="s">
        <v>902</v>
      </c>
      <c r="M465" s="2" t="s">
        <v>4322</v>
      </c>
      <c r="N465" s="2" t="s">
        <v>4323</v>
      </c>
      <c r="O465" s="2" t="s">
        <v>904</v>
      </c>
      <c r="P465" s="2" t="s">
        <v>37</v>
      </c>
      <c r="Q465" s="2" t="s">
        <v>4324</v>
      </c>
      <c r="R465" s="2" t="s">
        <v>4325</v>
      </c>
      <c r="T465" s="2" t="s">
        <v>697</v>
      </c>
      <c r="W465" s="2" t="s">
        <v>4326</v>
      </c>
      <c r="X465" s="2" t="n">
        <v>10229</v>
      </c>
      <c r="Y465" s="2" t="s">
        <v>4327</v>
      </c>
      <c r="Z465" s="3" t="s">
        <v>4328</v>
      </c>
    </row>
    <row r="466" customFormat="false" ht="13.8" hidden="false" customHeight="false" outlineLevel="0" collapsed="false">
      <c r="A466" s="0" t="str">
        <f aca="false">CONCATENATE("__import__.res_partner_",C466)</f>
        <v>__import__.res_partner_20000010230</v>
      </c>
      <c r="B466" s="2" t="s">
        <v>4329</v>
      </c>
      <c r="C466" s="3" t="s">
        <v>4330</v>
      </c>
      <c r="D466" s="2" t="s">
        <v>4331</v>
      </c>
      <c r="F466" s="2" t="s">
        <v>30</v>
      </c>
      <c r="G466" s="2" t="s">
        <v>31</v>
      </c>
      <c r="H466" s="2" t="s">
        <v>32</v>
      </c>
      <c r="K466" s="2" t="s">
        <v>4332</v>
      </c>
      <c r="L466" s="3" t="s">
        <v>2384</v>
      </c>
      <c r="M466" s="2" t="s">
        <v>4333</v>
      </c>
      <c r="N466" s="2" t="s">
        <v>4334</v>
      </c>
      <c r="O466" s="2" t="s">
        <v>49</v>
      </c>
      <c r="P466" s="2" t="s">
        <v>37</v>
      </c>
      <c r="T466" s="2" t="s">
        <v>76</v>
      </c>
      <c r="X466" s="2" t="n">
        <v>10230</v>
      </c>
      <c r="Y466" s="2" t="s">
        <v>678</v>
      </c>
      <c r="Z466" s="3" t="s">
        <v>4335</v>
      </c>
    </row>
    <row r="467" customFormat="false" ht="13.8" hidden="false" customHeight="false" outlineLevel="0" collapsed="false">
      <c r="A467" s="0" t="str">
        <f aca="false">CONCATENATE("__import__.res_partner_",C467)</f>
        <v>__import__.res_partner_20000010232</v>
      </c>
      <c r="B467" s="2" t="s">
        <v>4336</v>
      </c>
      <c r="C467" s="3" t="s">
        <v>4337</v>
      </c>
      <c r="D467" s="2" t="s">
        <v>4338</v>
      </c>
      <c r="F467" s="2" t="s">
        <v>30</v>
      </c>
      <c r="G467" s="2" t="s">
        <v>31</v>
      </c>
      <c r="H467" s="2" t="s">
        <v>32</v>
      </c>
      <c r="K467" s="2" t="s">
        <v>4339</v>
      </c>
      <c r="L467" s="3" t="s">
        <v>2771</v>
      </c>
      <c r="M467" s="2" t="s">
        <v>4340</v>
      </c>
      <c r="O467" s="2" t="s">
        <v>2754</v>
      </c>
      <c r="P467" s="2" t="s">
        <v>37</v>
      </c>
      <c r="R467" s="2" t="s">
        <v>4341</v>
      </c>
      <c r="T467" s="2" t="s">
        <v>697</v>
      </c>
      <c r="X467" s="2" t="n">
        <v>10232</v>
      </c>
      <c r="Y467" s="2" t="s">
        <v>678</v>
      </c>
      <c r="Z467" s="3" t="s">
        <v>4342</v>
      </c>
    </row>
    <row r="468" customFormat="false" ht="13.8" hidden="false" customHeight="false" outlineLevel="0" collapsed="false">
      <c r="A468" s="0" t="str">
        <f aca="false">CONCATENATE("__import__.res_partner_",C468)</f>
        <v>__import__.res_partner_20000010233</v>
      </c>
      <c r="B468" s="2" t="s">
        <v>4343</v>
      </c>
      <c r="C468" s="3" t="s">
        <v>4344</v>
      </c>
      <c r="D468" s="2" t="s">
        <v>4345</v>
      </c>
      <c r="F468" s="2" t="s">
        <v>30</v>
      </c>
      <c r="G468" s="2" t="s">
        <v>31</v>
      </c>
      <c r="H468" s="2" t="s">
        <v>32</v>
      </c>
      <c r="K468" s="2" t="s">
        <v>4346</v>
      </c>
      <c r="M468" s="2" t="s">
        <v>4347</v>
      </c>
      <c r="O468" s="2" t="s">
        <v>759</v>
      </c>
      <c r="P468" s="2" t="s">
        <v>37</v>
      </c>
      <c r="Q468" s="2" t="s">
        <v>4348</v>
      </c>
      <c r="R468" s="2" t="s">
        <v>4349</v>
      </c>
      <c r="T468" s="2" t="s">
        <v>108</v>
      </c>
      <c r="X468" s="2" t="n">
        <v>10233</v>
      </c>
      <c r="Y468" s="2" t="s">
        <v>4350</v>
      </c>
      <c r="Z468" s="3" t="s">
        <v>4351</v>
      </c>
    </row>
    <row r="469" customFormat="false" ht="13.8" hidden="false" customHeight="false" outlineLevel="0" collapsed="false">
      <c r="A469" s="0" t="str">
        <f aca="false">CONCATENATE("__import__.res_partner_",C469)</f>
        <v>__import__.res_partner_20000010234</v>
      </c>
      <c r="B469" s="2" t="s">
        <v>4352</v>
      </c>
      <c r="C469" s="3" t="s">
        <v>4353</v>
      </c>
      <c r="D469" s="2" t="s">
        <v>4354</v>
      </c>
      <c r="F469" s="2" t="s">
        <v>30</v>
      </c>
      <c r="G469" s="2" t="s">
        <v>31</v>
      </c>
      <c r="H469" s="2" t="s">
        <v>32</v>
      </c>
      <c r="K469" s="2" t="s">
        <v>4355</v>
      </c>
      <c r="L469" s="3" t="s">
        <v>4356</v>
      </c>
      <c r="M469" s="2" t="s">
        <v>4357</v>
      </c>
      <c r="O469" s="2" t="s">
        <v>4358</v>
      </c>
      <c r="P469" s="2" t="s">
        <v>37</v>
      </c>
      <c r="Q469" s="2" t="s">
        <v>4359</v>
      </c>
      <c r="R469" s="2" t="s">
        <v>4360</v>
      </c>
      <c r="T469" s="2" t="s">
        <v>76</v>
      </c>
      <c r="X469" s="2" t="n">
        <v>10234</v>
      </c>
      <c r="Y469" s="2" t="s">
        <v>678</v>
      </c>
      <c r="Z469" s="3" t="s">
        <v>4361</v>
      </c>
    </row>
    <row r="470" customFormat="false" ht="13.8" hidden="false" customHeight="false" outlineLevel="0" collapsed="false">
      <c r="A470" s="0" t="str">
        <f aca="false">CONCATENATE("__import__.res_partner_",C470)</f>
        <v>__import__.res_partner_20000010235</v>
      </c>
      <c r="B470" s="2" t="s">
        <v>4362</v>
      </c>
      <c r="C470" s="3" t="s">
        <v>4363</v>
      </c>
      <c r="D470" s="2" t="s">
        <v>4364</v>
      </c>
      <c r="F470" s="2" t="s">
        <v>30</v>
      </c>
      <c r="G470" s="2" t="s">
        <v>31</v>
      </c>
      <c r="H470" s="2" t="s">
        <v>32</v>
      </c>
      <c r="K470" s="2" t="s">
        <v>4365</v>
      </c>
      <c r="L470" s="3" t="s">
        <v>520</v>
      </c>
      <c r="M470" s="2" t="s">
        <v>4366</v>
      </c>
      <c r="N470" s="2" t="s">
        <v>4367</v>
      </c>
      <c r="O470" s="2" t="s">
        <v>116</v>
      </c>
      <c r="P470" s="2" t="s">
        <v>37</v>
      </c>
      <c r="Q470" s="2" t="s">
        <v>4368</v>
      </c>
      <c r="R470" s="2" t="s">
        <v>4369</v>
      </c>
      <c r="T470" s="2" t="s">
        <v>697</v>
      </c>
      <c r="X470" s="2" t="n">
        <v>10235</v>
      </c>
      <c r="Y470" s="2" t="s">
        <v>4370</v>
      </c>
      <c r="Z470" s="3" t="s">
        <v>4371</v>
      </c>
    </row>
    <row r="471" customFormat="false" ht="13.8" hidden="false" customHeight="false" outlineLevel="0" collapsed="false">
      <c r="A471" s="0" t="str">
        <f aca="false">CONCATENATE("__import__.res_partner_",C471)</f>
        <v>__import__.res_partner_20000010236</v>
      </c>
      <c r="B471" s="2" t="s">
        <v>4372</v>
      </c>
      <c r="C471" s="3" t="s">
        <v>4373</v>
      </c>
      <c r="D471" s="2" t="s">
        <v>4374</v>
      </c>
      <c r="F471" s="2" t="s">
        <v>30</v>
      </c>
      <c r="G471" s="2" t="s">
        <v>31</v>
      </c>
      <c r="H471" s="2" t="s">
        <v>32</v>
      </c>
      <c r="K471" s="2" t="s">
        <v>4375</v>
      </c>
      <c r="L471" s="3" t="s">
        <v>4376</v>
      </c>
      <c r="M471" s="2" t="s">
        <v>4377</v>
      </c>
      <c r="O471" s="2" t="s">
        <v>4378</v>
      </c>
      <c r="P471" s="2" t="s">
        <v>37</v>
      </c>
      <c r="Q471" s="2" t="s">
        <v>4379</v>
      </c>
      <c r="R471" s="2" t="s">
        <v>4380</v>
      </c>
      <c r="T471" s="2" t="s">
        <v>697</v>
      </c>
      <c r="X471" s="2" t="n">
        <v>10236</v>
      </c>
      <c r="Y471" s="2" t="s">
        <v>678</v>
      </c>
      <c r="Z471" s="3" t="s">
        <v>4381</v>
      </c>
    </row>
    <row r="472" customFormat="false" ht="13.8" hidden="false" customHeight="false" outlineLevel="0" collapsed="false">
      <c r="A472" s="0" t="str">
        <f aca="false">CONCATENATE("__import__.res_partner_",C472)</f>
        <v>__import__.res_partner_20000010237</v>
      </c>
      <c r="B472" s="2" t="s">
        <v>4382</v>
      </c>
      <c r="C472" s="3" t="s">
        <v>4383</v>
      </c>
      <c r="D472" s="2" t="s">
        <v>4384</v>
      </c>
      <c r="F472" s="2" t="s">
        <v>30</v>
      </c>
      <c r="G472" s="2" t="s">
        <v>31</v>
      </c>
      <c r="H472" s="2" t="s">
        <v>32</v>
      </c>
      <c r="K472" s="2" t="s">
        <v>4385</v>
      </c>
      <c r="L472" s="3" t="s">
        <v>4386</v>
      </c>
      <c r="M472" s="2" t="s">
        <v>4387</v>
      </c>
      <c r="O472" s="2" t="s">
        <v>4388</v>
      </c>
      <c r="P472" s="2" t="s">
        <v>37</v>
      </c>
      <c r="T472" s="2" t="s">
        <v>697</v>
      </c>
      <c r="X472" s="2" t="n">
        <v>10237</v>
      </c>
      <c r="Y472" s="2" t="s">
        <v>4389</v>
      </c>
      <c r="Z472" s="3" t="s">
        <v>4390</v>
      </c>
    </row>
    <row r="473" customFormat="false" ht="13.8" hidden="false" customHeight="false" outlineLevel="0" collapsed="false">
      <c r="A473" s="0" t="str">
        <f aca="false">CONCATENATE("__import__.res_partner_",C473)</f>
        <v>__import__.res_partner_20000010238</v>
      </c>
      <c r="B473" s="2" t="s">
        <v>4391</v>
      </c>
      <c r="C473" s="3" t="s">
        <v>4392</v>
      </c>
      <c r="D473" s="2" t="s">
        <v>4393</v>
      </c>
      <c r="F473" s="2" t="s">
        <v>30</v>
      </c>
      <c r="G473" s="2" t="s">
        <v>31</v>
      </c>
      <c r="H473" s="2" t="s">
        <v>32</v>
      </c>
      <c r="K473" s="2" t="s">
        <v>4394</v>
      </c>
      <c r="L473" s="2" t="s">
        <v>4395</v>
      </c>
      <c r="M473" s="2" t="s">
        <v>4396</v>
      </c>
      <c r="N473" s="2" t="s">
        <v>4397</v>
      </c>
      <c r="O473" s="2" t="s">
        <v>4398</v>
      </c>
      <c r="P473" s="2" t="s">
        <v>675</v>
      </c>
      <c r="Q473" s="2" t="s">
        <v>4399</v>
      </c>
      <c r="R473" s="3" t="s">
        <v>4400</v>
      </c>
      <c r="T473" s="2" t="s">
        <v>697</v>
      </c>
      <c r="X473" s="2" t="n">
        <v>10238</v>
      </c>
      <c r="Y473" s="2" t="s">
        <v>4401</v>
      </c>
      <c r="Z473" s="3" t="s">
        <v>4402</v>
      </c>
    </row>
    <row r="474" customFormat="false" ht="13.8" hidden="false" customHeight="false" outlineLevel="0" collapsed="false">
      <c r="A474" s="0" t="str">
        <f aca="false">CONCATENATE("__import__.res_partner_",C474)</f>
        <v>__import__.res_partner_20000010239</v>
      </c>
      <c r="B474" s="2" t="s">
        <v>4403</v>
      </c>
      <c r="C474" s="3" t="s">
        <v>4404</v>
      </c>
      <c r="D474" s="2" t="s">
        <v>4405</v>
      </c>
      <c r="F474" s="3" t="s">
        <v>557</v>
      </c>
      <c r="G474" s="2" t="s">
        <v>31</v>
      </c>
      <c r="H474" s="2" t="s">
        <v>32</v>
      </c>
      <c r="K474" s="2" t="s">
        <v>4406</v>
      </c>
      <c r="L474" s="3" t="s">
        <v>4407</v>
      </c>
      <c r="M474" s="2" t="s">
        <v>4408</v>
      </c>
      <c r="O474" s="2" t="s">
        <v>4409</v>
      </c>
      <c r="P474" s="2" t="s">
        <v>37</v>
      </c>
      <c r="Q474" s="2" t="s">
        <v>4410</v>
      </c>
      <c r="T474" s="2" t="s">
        <v>697</v>
      </c>
      <c r="X474" s="2" t="n">
        <v>10239</v>
      </c>
      <c r="Y474" s="2" t="s">
        <v>4411</v>
      </c>
      <c r="Z474" s="3" t="s">
        <v>4412</v>
      </c>
    </row>
    <row r="475" customFormat="false" ht="13.8" hidden="false" customHeight="false" outlineLevel="0" collapsed="false">
      <c r="A475" s="0" t="str">
        <f aca="false">CONCATENATE("__import__.res_partner_",C475)</f>
        <v>__import__.res_partner_20000010241</v>
      </c>
      <c r="B475" s="2" t="s">
        <v>4413</v>
      </c>
      <c r="C475" s="3" t="s">
        <v>4414</v>
      </c>
      <c r="D475" s="2" t="s">
        <v>4415</v>
      </c>
      <c r="F475" s="2" t="s">
        <v>30</v>
      </c>
      <c r="G475" s="2" t="s">
        <v>31</v>
      </c>
      <c r="H475" s="2" t="s">
        <v>32</v>
      </c>
      <c r="K475" s="2" t="s">
        <v>4416</v>
      </c>
      <c r="L475" s="3" t="s">
        <v>4417</v>
      </c>
      <c r="M475" s="2" t="s">
        <v>4418</v>
      </c>
      <c r="O475" s="2" t="s">
        <v>2510</v>
      </c>
      <c r="P475" s="2" t="s">
        <v>37</v>
      </c>
      <c r="Q475" s="2" t="s">
        <v>4419</v>
      </c>
      <c r="R475" s="3" t="s">
        <v>4420</v>
      </c>
      <c r="T475" s="2" t="s">
        <v>108</v>
      </c>
      <c r="X475" s="2" t="n">
        <v>10241</v>
      </c>
      <c r="Y475" s="2" t="s">
        <v>678</v>
      </c>
      <c r="Z475" s="3" t="s">
        <v>4421</v>
      </c>
    </row>
    <row r="476" customFormat="false" ht="13.8" hidden="false" customHeight="false" outlineLevel="0" collapsed="false">
      <c r="A476" s="0" t="str">
        <f aca="false">CONCATENATE("__import__.res_partner_",C476)</f>
        <v>__import__.res_partner_20000010242</v>
      </c>
      <c r="B476" s="2" t="s">
        <v>4422</v>
      </c>
      <c r="C476" s="3" t="s">
        <v>4423</v>
      </c>
      <c r="D476" s="2" t="s">
        <v>4424</v>
      </c>
      <c r="F476" s="2" t="s">
        <v>30</v>
      </c>
      <c r="G476" s="2" t="s">
        <v>31</v>
      </c>
      <c r="H476" s="2" t="s">
        <v>32</v>
      </c>
      <c r="K476" s="2" t="s">
        <v>4425</v>
      </c>
      <c r="L476" s="3" t="s">
        <v>4426</v>
      </c>
      <c r="M476" s="2" t="s">
        <v>4427</v>
      </c>
      <c r="O476" s="2" t="s">
        <v>36</v>
      </c>
      <c r="P476" s="2" t="s">
        <v>37</v>
      </c>
      <c r="Q476" s="2" t="s">
        <v>4428</v>
      </c>
      <c r="R476" s="2" t="s">
        <v>4429</v>
      </c>
      <c r="T476" s="2" t="s">
        <v>108</v>
      </c>
      <c r="X476" s="2" t="n">
        <v>10242</v>
      </c>
      <c r="Y476" s="2" t="s">
        <v>4430</v>
      </c>
      <c r="Z476" s="3" t="s">
        <v>4431</v>
      </c>
    </row>
    <row r="477" customFormat="false" ht="13.8" hidden="false" customHeight="false" outlineLevel="0" collapsed="false">
      <c r="A477" s="0" t="str">
        <f aca="false">CONCATENATE("__import__.res_partner_",C477)</f>
        <v>__import__.res_partner_20000010243</v>
      </c>
      <c r="B477" s="2" t="s">
        <v>4432</v>
      </c>
      <c r="C477" s="3" t="s">
        <v>4433</v>
      </c>
      <c r="D477" s="2" t="s">
        <v>1745</v>
      </c>
      <c r="F477" s="2" t="s">
        <v>30</v>
      </c>
      <c r="G477" s="2" t="s">
        <v>31</v>
      </c>
      <c r="H477" s="2" t="s">
        <v>32</v>
      </c>
      <c r="K477" s="2" t="s">
        <v>1746</v>
      </c>
      <c r="L477" s="3" t="s">
        <v>1538</v>
      </c>
      <c r="M477" s="2" t="s">
        <v>1747</v>
      </c>
      <c r="N477" s="2" t="s">
        <v>1748</v>
      </c>
      <c r="O477" s="2" t="s">
        <v>1749</v>
      </c>
      <c r="P477" s="2" t="s">
        <v>37</v>
      </c>
      <c r="Q477" s="2" t="s">
        <v>1750</v>
      </c>
      <c r="R477" s="2" t="s">
        <v>1751</v>
      </c>
      <c r="T477" s="2" t="s">
        <v>108</v>
      </c>
      <c r="X477" s="2" t="n">
        <v>10243</v>
      </c>
      <c r="Y477" s="2" t="s">
        <v>1752</v>
      </c>
      <c r="Z477" s="3" t="s">
        <v>4434</v>
      </c>
    </row>
    <row r="478" customFormat="false" ht="13.8" hidden="false" customHeight="false" outlineLevel="0" collapsed="false">
      <c r="A478" s="0" t="str">
        <f aca="false">CONCATENATE("__import__.res_partner_",C478)</f>
        <v>__import__.res_partner_20000010244</v>
      </c>
      <c r="B478" s="2" t="s">
        <v>4435</v>
      </c>
      <c r="C478" s="3" t="s">
        <v>4436</v>
      </c>
      <c r="D478" s="2" t="s">
        <v>4437</v>
      </c>
      <c r="F478" s="2" t="s">
        <v>30</v>
      </c>
      <c r="G478" s="2" t="s">
        <v>31</v>
      </c>
      <c r="H478" s="2" t="s">
        <v>32</v>
      </c>
      <c r="K478" s="2" t="s">
        <v>4438</v>
      </c>
      <c r="L478" s="3" t="s">
        <v>4439</v>
      </c>
      <c r="M478" s="2" t="s">
        <v>4440</v>
      </c>
      <c r="O478" s="2" t="s">
        <v>36</v>
      </c>
      <c r="P478" s="2" t="s">
        <v>37</v>
      </c>
      <c r="Q478" s="2" t="s">
        <v>4441</v>
      </c>
      <c r="T478" s="2" t="s">
        <v>108</v>
      </c>
      <c r="X478" s="2" t="n">
        <v>10244</v>
      </c>
      <c r="Y478" s="2" t="s">
        <v>678</v>
      </c>
      <c r="Z478" s="3" t="s">
        <v>4442</v>
      </c>
    </row>
    <row r="479" customFormat="false" ht="57" hidden="false" customHeight="false" outlineLevel="0" collapsed="false">
      <c r="A479" s="0" t="str">
        <f aca="false">CONCATENATE("__import__.res_partner_",C479)</f>
        <v>__import__.res_partner_20000010245</v>
      </c>
      <c r="B479" s="2" t="s">
        <v>4443</v>
      </c>
      <c r="C479" s="3" t="s">
        <v>4444</v>
      </c>
      <c r="D479" s="2" t="s">
        <v>4445</v>
      </c>
      <c r="F479" s="2" t="s">
        <v>30</v>
      </c>
      <c r="G479" s="2" t="s">
        <v>1664</v>
      </c>
      <c r="H479" s="2" t="s">
        <v>32</v>
      </c>
      <c r="K479" s="2" t="s">
        <v>4446</v>
      </c>
      <c r="L479" s="3" t="s">
        <v>4447</v>
      </c>
      <c r="M479" s="2" t="s">
        <v>4448</v>
      </c>
      <c r="O479" s="2" t="s">
        <v>2709</v>
      </c>
      <c r="P479" s="2" t="s">
        <v>37</v>
      </c>
      <c r="T479" s="2" t="s">
        <v>108</v>
      </c>
      <c r="X479" s="2" t="n">
        <v>10245</v>
      </c>
      <c r="Y479" s="2" t="s">
        <v>678</v>
      </c>
      <c r="Z479" s="3" t="s">
        <v>4449</v>
      </c>
      <c r="AA479" s="4" t="s">
        <v>4450</v>
      </c>
    </row>
    <row r="480" customFormat="false" ht="120.85" hidden="false" customHeight="false" outlineLevel="0" collapsed="false">
      <c r="A480" s="0" t="str">
        <f aca="false">CONCATENATE("__import__.res_partner_",C480)</f>
        <v>__import__.res_partner_20000010246</v>
      </c>
      <c r="B480" s="2" t="s">
        <v>4451</v>
      </c>
      <c r="C480" s="3" t="s">
        <v>4452</v>
      </c>
      <c r="D480" s="2" t="s">
        <v>4453</v>
      </c>
      <c r="F480" s="2" t="s">
        <v>30</v>
      </c>
      <c r="G480" s="2" t="s">
        <v>31</v>
      </c>
      <c r="H480" s="2" t="s">
        <v>32</v>
      </c>
      <c r="K480" s="2" t="s">
        <v>4454</v>
      </c>
      <c r="L480" s="3" t="s">
        <v>777</v>
      </c>
      <c r="M480" s="2" t="s">
        <v>4455</v>
      </c>
      <c r="O480" s="2" t="s">
        <v>4456</v>
      </c>
      <c r="P480" s="2" t="s">
        <v>37</v>
      </c>
      <c r="R480" s="2" t="s">
        <v>4457</v>
      </c>
      <c r="T480" s="2" t="s">
        <v>108</v>
      </c>
      <c r="X480" s="2" t="n">
        <v>10246</v>
      </c>
      <c r="Z480" s="3" t="s">
        <v>4458</v>
      </c>
      <c r="AA480" s="4" t="s">
        <v>4459</v>
      </c>
    </row>
    <row r="481" customFormat="false" ht="14.25" hidden="false" customHeight="false" outlineLevel="0" collapsed="false">
      <c r="A481" s="0" t="str">
        <f aca="false">CONCATENATE("__import__.res_partner_",C481)</f>
        <v>__import__.res_partner_20000010247</v>
      </c>
      <c r="B481" s="2" t="s">
        <v>4460</v>
      </c>
      <c r="C481" s="3" t="s">
        <v>4461</v>
      </c>
      <c r="D481" s="2" t="s">
        <v>4462</v>
      </c>
      <c r="F481" s="2" t="s">
        <v>30</v>
      </c>
      <c r="G481" s="2" t="s">
        <v>31</v>
      </c>
      <c r="H481" s="2" t="s">
        <v>32</v>
      </c>
      <c r="K481" s="2" t="s">
        <v>4463</v>
      </c>
      <c r="L481" s="3" t="s">
        <v>4464</v>
      </c>
      <c r="M481" s="2" t="s">
        <v>4465</v>
      </c>
      <c r="O481" s="2" t="s">
        <v>2709</v>
      </c>
      <c r="P481" s="2" t="s">
        <v>37</v>
      </c>
      <c r="Q481" s="2" t="s">
        <v>4466</v>
      </c>
      <c r="R481" s="2" t="s">
        <v>4467</v>
      </c>
      <c r="T481" s="2" t="s">
        <v>108</v>
      </c>
      <c r="X481" s="2" t="n">
        <v>10247</v>
      </c>
      <c r="Y481" s="2" t="s">
        <v>4468</v>
      </c>
      <c r="Z481" s="3" t="s">
        <v>4469</v>
      </c>
    </row>
    <row r="482" customFormat="false" ht="27.75" hidden="false" customHeight="false" outlineLevel="0" collapsed="false">
      <c r="A482" s="0" t="str">
        <f aca="false">CONCATENATE("__import__.res_partner_",C482)</f>
        <v>__import__.res_partner_20000010248</v>
      </c>
      <c r="B482" s="2" t="s">
        <v>4470</v>
      </c>
      <c r="C482" s="3" t="s">
        <v>4471</v>
      </c>
      <c r="D482" s="2" t="s">
        <v>4472</v>
      </c>
      <c r="F482" s="2" t="s">
        <v>30</v>
      </c>
      <c r="G482" s="2" t="s">
        <v>31</v>
      </c>
      <c r="H482" s="2" t="s">
        <v>32</v>
      </c>
      <c r="K482" s="2" t="s">
        <v>4473</v>
      </c>
      <c r="L482" s="3" t="s">
        <v>4474</v>
      </c>
      <c r="M482" s="2" t="s">
        <v>4475</v>
      </c>
      <c r="O482" s="2" t="s">
        <v>4476</v>
      </c>
      <c r="P482" s="2" t="s">
        <v>37</v>
      </c>
      <c r="R482" s="2" t="s">
        <v>4477</v>
      </c>
      <c r="T482" s="2" t="s">
        <v>697</v>
      </c>
      <c r="X482" s="2" t="n">
        <v>10248</v>
      </c>
      <c r="Y482" s="2" t="s">
        <v>4478</v>
      </c>
      <c r="Z482" s="3" t="s">
        <v>4479</v>
      </c>
      <c r="AA482" s="4" t="s">
        <v>4480</v>
      </c>
    </row>
    <row r="483" customFormat="false" ht="13.8" hidden="false" customHeight="false" outlineLevel="0" collapsed="false">
      <c r="A483" s="0" t="str">
        <f aca="false">CONCATENATE("__import__.res_partner_",C483)</f>
        <v>__import__.res_partner_20000010249</v>
      </c>
      <c r="B483" s="2" t="s">
        <v>4481</v>
      </c>
      <c r="C483" s="3" t="s">
        <v>4482</v>
      </c>
      <c r="D483" s="2" t="s">
        <v>4483</v>
      </c>
      <c r="F483" s="2" t="s">
        <v>30</v>
      </c>
      <c r="G483" s="2" t="s">
        <v>31</v>
      </c>
      <c r="H483" s="2" t="s">
        <v>32</v>
      </c>
      <c r="K483" s="2" t="s">
        <v>4484</v>
      </c>
      <c r="L483" s="2" t="s">
        <v>4485</v>
      </c>
      <c r="M483" s="2" t="s">
        <v>4486</v>
      </c>
      <c r="O483" s="2" t="s">
        <v>4487</v>
      </c>
      <c r="P483" s="2" t="s">
        <v>1955</v>
      </c>
      <c r="T483" s="2" t="s">
        <v>697</v>
      </c>
      <c r="X483" s="2" t="n">
        <v>10249</v>
      </c>
      <c r="Y483" s="2" t="s">
        <v>4488</v>
      </c>
      <c r="Z483" s="3" t="s">
        <v>4489</v>
      </c>
    </row>
    <row r="484" customFormat="false" ht="13.8" hidden="false" customHeight="false" outlineLevel="0" collapsed="false">
      <c r="A484" s="0" t="str">
        <f aca="false">CONCATENATE("__import__.res_partner_",C484)</f>
        <v>__import__.res_partner_20000010251</v>
      </c>
      <c r="B484" s="2" t="s">
        <v>4490</v>
      </c>
      <c r="C484" s="3" t="s">
        <v>4491</v>
      </c>
      <c r="D484" s="2" t="s">
        <v>4492</v>
      </c>
      <c r="F484" s="2" t="s">
        <v>30</v>
      </c>
      <c r="G484" s="2" t="s">
        <v>31</v>
      </c>
      <c r="H484" s="2" t="s">
        <v>32</v>
      </c>
      <c r="K484" s="2" t="s">
        <v>4493</v>
      </c>
      <c r="L484" s="3" t="s">
        <v>4494</v>
      </c>
      <c r="M484" s="2" t="s">
        <v>4495</v>
      </c>
      <c r="O484" s="2" t="s">
        <v>36</v>
      </c>
      <c r="P484" s="2" t="s">
        <v>37</v>
      </c>
      <c r="R484" s="2" t="s">
        <v>4496</v>
      </c>
      <c r="T484" s="2" t="s">
        <v>697</v>
      </c>
      <c r="X484" s="2" t="n">
        <v>10251</v>
      </c>
      <c r="Y484" s="2" t="s">
        <v>678</v>
      </c>
      <c r="Z484" s="3" t="s">
        <v>4497</v>
      </c>
    </row>
    <row r="485" customFormat="false" ht="13.8" hidden="false" customHeight="false" outlineLevel="0" collapsed="false">
      <c r="A485" s="0" t="str">
        <f aca="false">CONCATENATE("__import__.res_partner_",C485)</f>
        <v>__import__.res_partner_20000010252</v>
      </c>
      <c r="B485" s="2" t="s">
        <v>4498</v>
      </c>
      <c r="C485" s="3" t="s">
        <v>4499</v>
      </c>
      <c r="D485" s="2" t="s">
        <v>4500</v>
      </c>
      <c r="F485" s="2" t="s">
        <v>30</v>
      </c>
      <c r="G485" s="2" t="s">
        <v>31</v>
      </c>
      <c r="H485" s="2" t="s">
        <v>32</v>
      </c>
      <c r="K485" s="2" t="s">
        <v>4501</v>
      </c>
      <c r="L485" s="2" t="s">
        <v>4502</v>
      </c>
      <c r="M485" s="2" t="s">
        <v>4503</v>
      </c>
      <c r="O485" s="2" t="s">
        <v>4504</v>
      </c>
      <c r="P485" s="2" t="s">
        <v>675</v>
      </c>
      <c r="R485" s="2" t="s">
        <v>4505</v>
      </c>
      <c r="T485" s="2" t="s">
        <v>76</v>
      </c>
      <c r="X485" s="2" t="n">
        <v>10252</v>
      </c>
      <c r="Y485" s="2" t="s">
        <v>4506</v>
      </c>
      <c r="Z485" s="3" t="s">
        <v>4507</v>
      </c>
    </row>
    <row r="486" customFormat="false" ht="13.8" hidden="false" customHeight="false" outlineLevel="0" collapsed="false">
      <c r="A486" s="0" t="str">
        <f aca="false">CONCATENATE("__import__.res_partner_",C486)</f>
        <v>__import__.res_partner_20000010253</v>
      </c>
      <c r="B486" s="2" t="s">
        <v>4508</v>
      </c>
      <c r="C486" s="3" t="s">
        <v>4509</v>
      </c>
      <c r="D486" s="2" t="s">
        <v>4510</v>
      </c>
      <c r="F486" s="2" t="s">
        <v>30</v>
      </c>
      <c r="G486" s="2" t="s">
        <v>31</v>
      </c>
      <c r="H486" s="2" t="s">
        <v>32</v>
      </c>
      <c r="K486" s="2" t="s">
        <v>4511</v>
      </c>
      <c r="L486" s="3" t="s">
        <v>4512</v>
      </c>
      <c r="M486" s="2" t="s">
        <v>4513</v>
      </c>
      <c r="O486" s="2" t="s">
        <v>4514</v>
      </c>
      <c r="P486" s="2" t="s">
        <v>37</v>
      </c>
      <c r="Q486" s="2" t="s">
        <v>4515</v>
      </c>
      <c r="R486" s="2" t="s">
        <v>4516</v>
      </c>
      <c r="T486" s="2" t="s">
        <v>108</v>
      </c>
      <c r="X486" s="2" t="n">
        <v>10253</v>
      </c>
      <c r="Y486" s="2" t="s">
        <v>4517</v>
      </c>
      <c r="Z486" s="3" t="s">
        <v>4518</v>
      </c>
    </row>
    <row r="487" customFormat="false" ht="13.8" hidden="false" customHeight="false" outlineLevel="0" collapsed="false">
      <c r="A487" s="0" t="str">
        <f aca="false">CONCATENATE("__import__.res_partner_",C487)</f>
        <v>__import__.res_partner_20000010254</v>
      </c>
      <c r="B487" s="2" t="s">
        <v>4519</v>
      </c>
      <c r="C487" s="3" t="s">
        <v>4520</v>
      </c>
      <c r="D487" s="2" t="s">
        <v>4521</v>
      </c>
      <c r="F487" s="2" t="s">
        <v>30</v>
      </c>
      <c r="G487" s="2" t="s">
        <v>31</v>
      </c>
      <c r="H487" s="2" t="s">
        <v>32</v>
      </c>
      <c r="K487" s="2" t="s">
        <v>4522</v>
      </c>
      <c r="L487" s="3" t="s">
        <v>4523</v>
      </c>
      <c r="M487" s="2" t="s">
        <v>4524</v>
      </c>
      <c r="O487" s="2" t="s">
        <v>4525</v>
      </c>
      <c r="P487" s="2" t="s">
        <v>37</v>
      </c>
      <c r="R487" s="2" t="s">
        <v>4526</v>
      </c>
      <c r="T487" s="2" t="s">
        <v>76</v>
      </c>
      <c r="X487" s="2" t="n">
        <v>10254</v>
      </c>
      <c r="Y487" s="2" t="s">
        <v>678</v>
      </c>
      <c r="Z487" s="3" t="s">
        <v>4527</v>
      </c>
    </row>
    <row r="488" customFormat="false" ht="13.8" hidden="false" customHeight="false" outlineLevel="0" collapsed="false">
      <c r="A488" s="0" t="str">
        <f aca="false">CONCATENATE("__import__.res_partner_",C488)</f>
        <v>__import__.res_partner_20000010255</v>
      </c>
      <c r="B488" s="2" t="s">
        <v>4528</v>
      </c>
      <c r="C488" s="3" t="s">
        <v>4529</v>
      </c>
      <c r="D488" s="2" t="s">
        <v>4530</v>
      </c>
      <c r="F488" s="2" t="s">
        <v>30</v>
      </c>
      <c r="G488" s="2" t="s">
        <v>31</v>
      </c>
      <c r="H488" s="2" t="s">
        <v>32</v>
      </c>
      <c r="K488" s="2" t="s">
        <v>4531</v>
      </c>
      <c r="L488" s="3" t="s">
        <v>2771</v>
      </c>
      <c r="M488" s="2" t="s">
        <v>4532</v>
      </c>
      <c r="O488" s="2" t="s">
        <v>2754</v>
      </c>
      <c r="P488" s="2" t="s">
        <v>37</v>
      </c>
      <c r="Q488" s="2" t="s">
        <v>4533</v>
      </c>
      <c r="R488" s="2" t="s">
        <v>4534</v>
      </c>
      <c r="T488" s="2" t="s">
        <v>108</v>
      </c>
      <c r="X488" s="2" t="n">
        <v>10255</v>
      </c>
      <c r="Y488" s="2" t="s">
        <v>678</v>
      </c>
      <c r="Z488" s="3" t="s">
        <v>4535</v>
      </c>
    </row>
    <row r="489" customFormat="false" ht="76.1" hidden="false" customHeight="false" outlineLevel="0" collapsed="false">
      <c r="A489" s="0" t="str">
        <f aca="false">CONCATENATE("__import__.res_partner_",C489)</f>
        <v>__import__.res_partner_20000010256</v>
      </c>
      <c r="B489" s="2" t="s">
        <v>4536</v>
      </c>
      <c r="C489" s="3" t="s">
        <v>4537</v>
      </c>
      <c r="D489" s="2" t="s">
        <v>4538</v>
      </c>
      <c r="F489" s="2" t="s">
        <v>30</v>
      </c>
      <c r="G489" s="2" t="s">
        <v>31</v>
      </c>
      <c r="H489" s="2" t="s">
        <v>32</v>
      </c>
      <c r="K489" s="2" t="s">
        <v>4539</v>
      </c>
      <c r="L489" s="3" t="s">
        <v>4540</v>
      </c>
      <c r="M489" s="2" t="s">
        <v>4541</v>
      </c>
      <c r="O489" s="2" t="s">
        <v>4542</v>
      </c>
      <c r="P489" s="2" t="s">
        <v>37</v>
      </c>
      <c r="Q489" s="2" t="s">
        <v>4543</v>
      </c>
      <c r="R489" s="2" t="s">
        <v>4544</v>
      </c>
      <c r="T489" s="2" t="s">
        <v>97</v>
      </c>
      <c r="X489" s="2" t="n">
        <v>10256</v>
      </c>
      <c r="Y489" s="2" t="s">
        <v>4545</v>
      </c>
      <c r="Z489" s="3" t="s">
        <v>4546</v>
      </c>
      <c r="AA489" s="4" t="s">
        <v>4547</v>
      </c>
    </row>
    <row r="490" customFormat="false" ht="13.8" hidden="false" customHeight="false" outlineLevel="0" collapsed="false">
      <c r="A490" s="0" t="str">
        <f aca="false">CONCATENATE("__import__.res_partner_",C490)</f>
        <v>__import__.res_partner_20000010257</v>
      </c>
      <c r="B490" s="2" t="s">
        <v>4548</v>
      </c>
      <c r="C490" s="3" t="s">
        <v>4549</v>
      </c>
      <c r="D490" s="2" t="s">
        <v>4550</v>
      </c>
      <c r="F490" s="2" t="s">
        <v>30</v>
      </c>
      <c r="G490" s="2" t="s">
        <v>31</v>
      </c>
      <c r="H490" s="2" t="s">
        <v>32</v>
      </c>
      <c r="K490" s="2" t="s">
        <v>4551</v>
      </c>
      <c r="L490" s="3" t="s">
        <v>4552</v>
      </c>
      <c r="M490" s="2" t="s">
        <v>4553</v>
      </c>
      <c r="O490" s="2" t="s">
        <v>2881</v>
      </c>
      <c r="P490" s="2" t="s">
        <v>37</v>
      </c>
      <c r="R490" s="2" t="s">
        <v>4554</v>
      </c>
      <c r="T490" s="2" t="s">
        <v>108</v>
      </c>
      <c r="X490" s="2" t="n">
        <v>10257</v>
      </c>
      <c r="Y490" s="2" t="s">
        <v>678</v>
      </c>
      <c r="Z490" s="3" t="s">
        <v>4555</v>
      </c>
    </row>
    <row r="491" customFormat="false" ht="13.8" hidden="false" customHeight="false" outlineLevel="0" collapsed="false">
      <c r="A491" s="0" t="str">
        <f aca="false">CONCATENATE("__import__.res_partner_",C491)</f>
        <v>__import__.res_partner_20000010258</v>
      </c>
      <c r="B491" s="2" t="s">
        <v>4556</v>
      </c>
      <c r="C491" s="3" t="s">
        <v>4557</v>
      </c>
      <c r="D491" s="2" t="s">
        <v>4558</v>
      </c>
      <c r="F491" s="2" t="s">
        <v>30</v>
      </c>
      <c r="G491" s="2" t="s">
        <v>31</v>
      </c>
      <c r="H491" s="2" t="s">
        <v>32</v>
      </c>
      <c r="K491" s="2" t="s">
        <v>4559</v>
      </c>
      <c r="L491" s="3" t="s">
        <v>4560</v>
      </c>
      <c r="M491" s="2" t="s">
        <v>4561</v>
      </c>
      <c r="O491" s="2" t="s">
        <v>4562</v>
      </c>
      <c r="P491" s="2" t="s">
        <v>37</v>
      </c>
      <c r="R491" s="2" t="s">
        <v>4563</v>
      </c>
      <c r="T491" s="2" t="s">
        <v>697</v>
      </c>
      <c r="X491" s="2" t="n">
        <v>10258</v>
      </c>
      <c r="Y491" s="2" t="s">
        <v>4564</v>
      </c>
      <c r="Z491" s="3" t="s">
        <v>4565</v>
      </c>
    </row>
    <row r="492" customFormat="false" ht="13.8" hidden="false" customHeight="false" outlineLevel="0" collapsed="false">
      <c r="A492" s="0" t="str">
        <f aca="false">CONCATENATE("__import__.res_partner_",C492)</f>
        <v>__import__.res_partner_20000010259</v>
      </c>
      <c r="B492" s="2" t="s">
        <v>4566</v>
      </c>
      <c r="C492" s="3" t="s">
        <v>4567</v>
      </c>
      <c r="D492" s="2" t="s">
        <v>4568</v>
      </c>
      <c r="F492" s="2" t="s">
        <v>30</v>
      </c>
      <c r="G492" s="2" t="s">
        <v>31</v>
      </c>
      <c r="H492" s="2" t="s">
        <v>32</v>
      </c>
      <c r="K492" s="2" t="s">
        <v>4569</v>
      </c>
      <c r="L492" s="3" t="s">
        <v>4570</v>
      </c>
      <c r="M492" s="2" t="s">
        <v>4571</v>
      </c>
      <c r="O492" s="2" t="s">
        <v>4572</v>
      </c>
      <c r="P492" s="2" t="s">
        <v>37</v>
      </c>
      <c r="Q492" s="2" t="s">
        <v>4573</v>
      </c>
      <c r="R492" s="2" t="s">
        <v>4574</v>
      </c>
      <c r="T492" s="2" t="s">
        <v>697</v>
      </c>
      <c r="X492" s="2" t="n">
        <v>10259</v>
      </c>
      <c r="Y492" s="2" t="s">
        <v>4575</v>
      </c>
      <c r="Z492" s="3" t="s">
        <v>4576</v>
      </c>
    </row>
    <row r="493" customFormat="false" ht="13.8" hidden="false" customHeight="false" outlineLevel="0" collapsed="false">
      <c r="A493" s="0" t="str">
        <f aca="false">CONCATENATE("__import__.res_partner_",C493)</f>
        <v>__import__.res_partner_20000010260</v>
      </c>
      <c r="B493" s="2" t="s">
        <v>4577</v>
      </c>
      <c r="C493" s="3" t="s">
        <v>4578</v>
      </c>
      <c r="D493" s="2" t="s">
        <v>4579</v>
      </c>
      <c r="F493" s="2" t="s">
        <v>30</v>
      </c>
      <c r="G493" s="2" t="s">
        <v>31</v>
      </c>
      <c r="H493" s="2" t="s">
        <v>32</v>
      </c>
      <c r="K493" s="2" t="s">
        <v>4580</v>
      </c>
      <c r="L493" s="3" t="s">
        <v>4581</v>
      </c>
      <c r="M493" s="2" t="s">
        <v>4582</v>
      </c>
      <c r="O493" s="2" t="s">
        <v>4583</v>
      </c>
      <c r="P493" s="2" t="s">
        <v>37</v>
      </c>
      <c r="Q493" s="2" t="s">
        <v>4584</v>
      </c>
      <c r="R493" s="2" t="s">
        <v>4585</v>
      </c>
      <c r="T493" s="2" t="s">
        <v>697</v>
      </c>
      <c r="X493" s="2" t="n">
        <v>10260</v>
      </c>
      <c r="Y493" s="2" t="s">
        <v>678</v>
      </c>
      <c r="Z493" s="3" t="s">
        <v>4586</v>
      </c>
    </row>
    <row r="494" customFormat="false" ht="13.8" hidden="false" customHeight="false" outlineLevel="0" collapsed="false">
      <c r="A494" s="0" t="str">
        <f aca="false">CONCATENATE("__import__.res_partner_",C494)</f>
        <v>__import__.res_partner_20000010261</v>
      </c>
      <c r="B494" s="2" t="s">
        <v>4587</v>
      </c>
      <c r="C494" s="3" t="s">
        <v>4588</v>
      </c>
      <c r="D494" s="2" t="s">
        <v>4589</v>
      </c>
      <c r="F494" s="2" t="s">
        <v>30</v>
      </c>
      <c r="G494" s="2" t="s">
        <v>31</v>
      </c>
      <c r="H494" s="2" t="s">
        <v>32</v>
      </c>
      <c r="K494" s="2" t="s">
        <v>4590</v>
      </c>
      <c r="L494" s="3" t="s">
        <v>4591</v>
      </c>
      <c r="M494" s="2" t="s">
        <v>4592</v>
      </c>
      <c r="O494" s="2" t="s">
        <v>36</v>
      </c>
      <c r="P494" s="2" t="s">
        <v>37</v>
      </c>
      <c r="Q494" s="2" t="s">
        <v>4593</v>
      </c>
      <c r="R494" s="3" t="s">
        <v>4594</v>
      </c>
      <c r="T494" s="2" t="s">
        <v>697</v>
      </c>
      <c r="X494" s="2" t="n">
        <v>10261</v>
      </c>
      <c r="Y494" s="2" t="s">
        <v>678</v>
      </c>
      <c r="Z494" s="3" t="s">
        <v>4595</v>
      </c>
    </row>
    <row r="495" customFormat="false" ht="13.8" hidden="false" customHeight="false" outlineLevel="0" collapsed="false">
      <c r="A495" s="0" t="str">
        <f aca="false">CONCATENATE("__import__.res_partner_",C495)</f>
        <v>__import__.res_partner_20000010262</v>
      </c>
      <c r="B495" s="2" t="s">
        <v>4596</v>
      </c>
      <c r="C495" s="3" t="s">
        <v>4597</v>
      </c>
      <c r="D495" s="2" t="s">
        <v>4598</v>
      </c>
      <c r="F495" s="2" t="s">
        <v>30</v>
      </c>
      <c r="G495" s="2" t="s">
        <v>31</v>
      </c>
      <c r="H495" s="2" t="s">
        <v>32</v>
      </c>
      <c r="K495" s="2" t="s">
        <v>4599</v>
      </c>
      <c r="L495" s="2" t="s">
        <v>4600</v>
      </c>
      <c r="M495" s="2" t="s">
        <v>4601</v>
      </c>
      <c r="O495" s="2" t="s">
        <v>4602</v>
      </c>
      <c r="P495" s="2" t="s">
        <v>1162</v>
      </c>
      <c r="Q495" s="2" t="s">
        <v>4603</v>
      </c>
      <c r="T495" s="2" t="s">
        <v>97</v>
      </c>
      <c r="X495" s="2" t="n">
        <v>10262</v>
      </c>
      <c r="Y495" s="2" t="s">
        <v>4598</v>
      </c>
      <c r="Z495" s="3" t="s">
        <v>4604</v>
      </c>
    </row>
    <row r="496" customFormat="false" ht="27.75" hidden="false" customHeight="false" outlineLevel="0" collapsed="false">
      <c r="A496" s="0" t="str">
        <f aca="false">CONCATENATE("__import__.res_partner_",C496)</f>
        <v>__import__.res_partner_20000010263</v>
      </c>
      <c r="B496" s="2" t="s">
        <v>4605</v>
      </c>
      <c r="C496" s="3" t="s">
        <v>4606</v>
      </c>
      <c r="D496" s="2" t="s">
        <v>4607</v>
      </c>
      <c r="F496" s="2" t="s">
        <v>30</v>
      </c>
      <c r="G496" s="2" t="s">
        <v>31</v>
      </c>
      <c r="H496" s="2" t="s">
        <v>32</v>
      </c>
      <c r="K496" s="2" t="s">
        <v>4608</v>
      </c>
      <c r="L496" s="3" t="s">
        <v>4609</v>
      </c>
      <c r="M496" s="2" t="s">
        <v>4610</v>
      </c>
      <c r="O496" s="2" t="s">
        <v>3128</v>
      </c>
      <c r="P496" s="2" t="s">
        <v>37</v>
      </c>
      <c r="Q496" s="2" t="s">
        <v>4611</v>
      </c>
      <c r="R496" s="2" t="s">
        <v>4612</v>
      </c>
      <c r="T496" s="2" t="s">
        <v>97</v>
      </c>
      <c r="X496" s="2" t="n">
        <v>10263</v>
      </c>
      <c r="Y496" s="2" t="s">
        <v>678</v>
      </c>
      <c r="Z496" s="3" t="s">
        <v>4613</v>
      </c>
      <c r="AA496" s="4" t="s">
        <v>4614</v>
      </c>
    </row>
    <row r="497" customFormat="false" ht="13.8" hidden="false" customHeight="false" outlineLevel="0" collapsed="false">
      <c r="A497" s="0" t="str">
        <f aca="false">CONCATENATE("__import__.res_partner_",C497)</f>
        <v>__import__.res_partner_20000010264</v>
      </c>
      <c r="B497" s="2" t="s">
        <v>4615</v>
      </c>
      <c r="C497" s="3" t="s">
        <v>4616</v>
      </c>
      <c r="D497" s="2" t="s">
        <v>4617</v>
      </c>
      <c r="F497" s="2" t="s">
        <v>30</v>
      </c>
      <c r="G497" s="2" t="s">
        <v>31</v>
      </c>
      <c r="H497" s="2" t="s">
        <v>32</v>
      </c>
      <c r="K497" s="2" t="s">
        <v>4618</v>
      </c>
      <c r="L497" s="3" t="s">
        <v>3789</v>
      </c>
      <c r="M497" s="2" t="s">
        <v>4619</v>
      </c>
      <c r="O497" s="2" t="s">
        <v>3645</v>
      </c>
      <c r="P497" s="2" t="s">
        <v>37</v>
      </c>
      <c r="Q497" s="2" t="s">
        <v>3665</v>
      </c>
      <c r="T497" s="2" t="s">
        <v>97</v>
      </c>
      <c r="X497" s="2" t="n">
        <v>10264</v>
      </c>
      <c r="Y497" s="2" t="s">
        <v>4617</v>
      </c>
      <c r="Z497" s="3" t="s">
        <v>4620</v>
      </c>
    </row>
    <row r="498" customFormat="false" ht="13.8" hidden="false" customHeight="false" outlineLevel="0" collapsed="false">
      <c r="A498" s="0" t="str">
        <f aca="false">CONCATENATE("__import__.res_partner_",C498)</f>
        <v>__import__.res_partner_20000010265</v>
      </c>
      <c r="B498" s="2" t="s">
        <v>4621</v>
      </c>
      <c r="C498" s="3" t="s">
        <v>4622</v>
      </c>
      <c r="D498" s="2" t="s">
        <v>4623</v>
      </c>
      <c r="F498" s="2" t="s">
        <v>30</v>
      </c>
      <c r="G498" s="2" t="s">
        <v>31</v>
      </c>
      <c r="H498" s="2" t="s">
        <v>32</v>
      </c>
      <c r="K498" s="2" t="s">
        <v>4624</v>
      </c>
      <c r="L498" s="3" t="s">
        <v>1404</v>
      </c>
      <c r="M498" s="2" t="s">
        <v>4625</v>
      </c>
      <c r="O498" s="2" t="s">
        <v>1406</v>
      </c>
      <c r="P498" s="2" t="s">
        <v>37</v>
      </c>
      <c r="Q498" s="2" t="s">
        <v>4626</v>
      </c>
      <c r="R498" s="2" t="s">
        <v>4627</v>
      </c>
      <c r="T498" s="2" t="s">
        <v>40</v>
      </c>
      <c r="X498" s="2" t="n">
        <v>10265</v>
      </c>
      <c r="Y498" s="2" t="s">
        <v>4628</v>
      </c>
      <c r="Z498" s="3" t="s">
        <v>4629</v>
      </c>
    </row>
    <row r="499" customFormat="false" ht="13.8" hidden="false" customHeight="false" outlineLevel="0" collapsed="false">
      <c r="A499" s="0" t="str">
        <f aca="false">CONCATENATE("__import__.res_partner_",C499)</f>
        <v>__import__.res_partner_20000010266</v>
      </c>
      <c r="B499" s="2" t="s">
        <v>4630</v>
      </c>
      <c r="C499" s="3" t="s">
        <v>4631</v>
      </c>
      <c r="D499" s="2" t="s">
        <v>4632</v>
      </c>
      <c r="F499" s="2" t="s">
        <v>30</v>
      </c>
      <c r="G499" s="2" t="s">
        <v>31</v>
      </c>
      <c r="H499" s="2" t="s">
        <v>32</v>
      </c>
      <c r="K499" s="2" t="s">
        <v>4633</v>
      </c>
      <c r="L499" s="3" t="s">
        <v>4634</v>
      </c>
      <c r="O499" s="2" t="s">
        <v>4635</v>
      </c>
      <c r="P499" s="2" t="s">
        <v>563</v>
      </c>
      <c r="Q499" s="2" t="s">
        <v>4636</v>
      </c>
      <c r="T499" s="2" t="s">
        <v>697</v>
      </c>
      <c r="X499" s="2" t="n">
        <v>10266</v>
      </c>
      <c r="Y499" s="2" t="s">
        <v>4637</v>
      </c>
      <c r="Z499" s="3" t="s">
        <v>4638</v>
      </c>
    </row>
    <row r="500" customFormat="false" ht="13.8" hidden="false" customHeight="false" outlineLevel="0" collapsed="false">
      <c r="A500" s="0" t="str">
        <f aca="false">CONCATENATE("__import__.res_partner_",C500)</f>
        <v>__import__.res_partner_20000010267</v>
      </c>
      <c r="B500" s="2" t="s">
        <v>4639</v>
      </c>
      <c r="C500" s="3" t="s">
        <v>4640</v>
      </c>
      <c r="D500" s="2" t="s">
        <v>4641</v>
      </c>
      <c r="F500" s="2" t="s">
        <v>30</v>
      </c>
      <c r="G500" s="2" t="s">
        <v>31</v>
      </c>
      <c r="H500" s="2" t="s">
        <v>32</v>
      </c>
      <c r="K500" s="2" t="s">
        <v>4642</v>
      </c>
      <c r="L500" s="3" t="s">
        <v>4643</v>
      </c>
      <c r="M500" s="2" t="s">
        <v>4644</v>
      </c>
      <c r="O500" s="2" t="s">
        <v>2881</v>
      </c>
      <c r="P500" s="2" t="s">
        <v>37</v>
      </c>
      <c r="Q500" s="2" t="s">
        <v>4645</v>
      </c>
      <c r="R500" s="2" t="s">
        <v>4646</v>
      </c>
      <c r="T500" s="2" t="s">
        <v>76</v>
      </c>
      <c r="X500" s="2" t="n">
        <v>10267</v>
      </c>
      <c r="Y500" s="2" t="s">
        <v>678</v>
      </c>
      <c r="Z500" s="3" t="s">
        <v>4647</v>
      </c>
    </row>
    <row r="501" customFormat="false" ht="13.8" hidden="false" customHeight="false" outlineLevel="0" collapsed="false">
      <c r="A501" s="0" t="str">
        <f aca="false">CONCATENATE("__import__.res_partner_",C501)</f>
        <v>__import__.res_partner_20000010268</v>
      </c>
      <c r="B501" s="2" t="s">
        <v>4648</v>
      </c>
      <c r="C501" s="3" t="s">
        <v>4649</v>
      </c>
      <c r="D501" s="2" t="s">
        <v>4650</v>
      </c>
      <c r="F501" s="2" t="s">
        <v>30</v>
      </c>
      <c r="G501" s="2" t="s">
        <v>31</v>
      </c>
      <c r="H501" s="2" t="s">
        <v>32</v>
      </c>
      <c r="K501" s="2" t="s">
        <v>4651</v>
      </c>
      <c r="L501" s="3" t="s">
        <v>4652</v>
      </c>
      <c r="M501" s="2" t="s">
        <v>4653</v>
      </c>
      <c r="N501" s="2" t="s">
        <v>4654</v>
      </c>
      <c r="O501" s="2" t="s">
        <v>4655</v>
      </c>
      <c r="P501" s="2" t="s">
        <v>37</v>
      </c>
      <c r="Q501" s="2" t="s">
        <v>4656</v>
      </c>
      <c r="R501" s="2" t="s">
        <v>4657</v>
      </c>
      <c r="T501" s="2" t="s">
        <v>97</v>
      </c>
      <c r="X501" s="2" t="n">
        <v>10268</v>
      </c>
      <c r="Y501" s="2" t="s">
        <v>678</v>
      </c>
      <c r="Z501" s="3" t="s">
        <v>4658</v>
      </c>
    </row>
    <row r="502" customFormat="false" ht="13.8" hidden="false" customHeight="false" outlineLevel="0" collapsed="false">
      <c r="A502" s="0" t="str">
        <f aca="false">CONCATENATE("__import__.res_partner_",C502)</f>
        <v>__import__.res_partner_20000010270</v>
      </c>
      <c r="B502" s="2" t="s">
        <v>4659</v>
      </c>
      <c r="C502" s="3" t="s">
        <v>4660</v>
      </c>
      <c r="D502" s="2" t="s">
        <v>4661</v>
      </c>
      <c r="F502" s="2" t="s">
        <v>30</v>
      </c>
      <c r="G502" s="2" t="s">
        <v>31</v>
      </c>
      <c r="H502" s="2" t="s">
        <v>32</v>
      </c>
      <c r="K502" s="2" t="s">
        <v>4662</v>
      </c>
      <c r="L502" s="2" t="s">
        <v>4663</v>
      </c>
      <c r="M502" s="2" t="s">
        <v>4664</v>
      </c>
      <c r="O502" s="2" t="s">
        <v>4665</v>
      </c>
      <c r="P502" s="2" t="s">
        <v>675</v>
      </c>
      <c r="Q502" s="2" t="s">
        <v>4666</v>
      </c>
      <c r="R502" s="3" t="s">
        <v>4667</v>
      </c>
      <c r="T502" s="2" t="s">
        <v>97</v>
      </c>
      <c r="X502" s="2" t="n">
        <v>10270</v>
      </c>
      <c r="Y502" s="2" t="s">
        <v>4668</v>
      </c>
      <c r="Z502" s="3" t="s">
        <v>4669</v>
      </c>
    </row>
    <row r="503" customFormat="false" ht="13.8" hidden="false" customHeight="false" outlineLevel="0" collapsed="false">
      <c r="A503" s="0" t="str">
        <f aca="false">CONCATENATE("__import__.res_partner_",C503)</f>
        <v>__import__.res_partner_20000010271</v>
      </c>
      <c r="B503" s="2" t="s">
        <v>4670</v>
      </c>
      <c r="C503" s="3" t="s">
        <v>4671</v>
      </c>
      <c r="D503" s="2" t="s">
        <v>4672</v>
      </c>
      <c r="F503" s="2" t="s">
        <v>30</v>
      </c>
      <c r="G503" s="2" t="s">
        <v>31</v>
      </c>
      <c r="H503" s="2" t="s">
        <v>32</v>
      </c>
      <c r="K503" s="2" t="s">
        <v>4673</v>
      </c>
      <c r="L503" s="3" t="s">
        <v>4674</v>
      </c>
      <c r="M503" s="2" t="s">
        <v>4675</v>
      </c>
      <c r="O503" s="2" t="s">
        <v>1227</v>
      </c>
      <c r="P503" s="2" t="s">
        <v>37</v>
      </c>
      <c r="Q503" s="2" t="s">
        <v>4676</v>
      </c>
      <c r="R503" s="2" t="s">
        <v>4677</v>
      </c>
      <c r="T503" s="2" t="s">
        <v>697</v>
      </c>
      <c r="X503" s="2" t="n">
        <v>10271</v>
      </c>
      <c r="Y503" s="2" t="s">
        <v>4678</v>
      </c>
      <c r="Z503" s="3" t="s">
        <v>4679</v>
      </c>
    </row>
    <row r="504" customFormat="false" ht="13.8" hidden="false" customHeight="false" outlineLevel="0" collapsed="false">
      <c r="A504" s="0" t="str">
        <f aca="false">CONCATENATE("__import__.res_partner_",C504)</f>
        <v>__import__.res_partner_20000010272</v>
      </c>
      <c r="B504" s="2" t="s">
        <v>4680</v>
      </c>
      <c r="C504" s="3" t="s">
        <v>4681</v>
      </c>
      <c r="D504" s="2" t="s">
        <v>4682</v>
      </c>
      <c r="F504" s="2" t="s">
        <v>30</v>
      </c>
      <c r="G504" s="2" t="s">
        <v>31</v>
      </c>
      <c r="H504" s="2" t="s">
        <v>32</v>
      </c>
      <c r="K504" s="2" t="s">
        <v>4683</v>
      </c>
      <c r="L504" s="3" t="s">
        <v>4684</v>
      </c>
      <c r="M504" s="2" t="s">
        <v>4685</v>
      </c>
      <c r="N504" s="2" t="s">
        <v>4686</v>
      </c>
      <c r="O504" s="2" t="s">
        <v>4687</v>
      </c>
      <c r="P504" s="2" t="s">
        <v>37</v>
      </c>
      <c r="T504" s="2" t="s">
        <v>76</v>
      </c>
      <c r="X504" s="2" t="n">
        <v>10272</v>
      </c>
      <c r="Y504" s="2" t="s">
        <v>678</v>
      </c>
      <c r="Z504" s="3" t="s">
        <v>4688</v>
      </c>
    </row>
    <row r="505" customFormat="false" ht="13.8" hidden="false" customHeight="false" outlineLevel="0" collapsed="false">
      <c r="A505" s="0" t="str">
        <f aca="false">CONCATENATE("__import__.res_partner_",C505)</f>
        <v>__import__.res_partner_20000010273</v>
      </c>
      <c r="B505" s="2" t="s">
        <v>4689</v>
      </c>
      <c r="C505" s="3" t="s">
        <v>4690</v>
      </c>
      <c r="D505" s="2" t="s">
        <v>4691</v>
      </c>
      <c r="F505" s="2" t="s">
        <v>30</v>
      </c>
      <c r="G505" s="2" t="s">
        <v>31</v>
      </c>
      <c r="H505" s="2" t="s">
        <v>32</v>
      </c>
      <c r="K505" s="2" t="s">
        <v>4692</v>
      </c>
      <c r="L505" s="3" t="s">
        <v>4693</v>
      </c>
      <c r="M505" s="2" t="s">
        <v>4694</v>
      </c>
      <c r="O505" s="2" t="s">
        <v>4695</v>
      </c>
      <c r="P505" s="2" t="s">
        <v>37</v>
      </c>
      <c r="Q505" s="2" t="s">
        <v>4696</v>
      </c>
      <c r="R505" s="2" t="s">
        <v>4697</v>
      </c>
      <c r="T505" s="2" t="s">
        <v>697</v>
      </c>
      <c r="X505" s="2" t="n">
        <v>10273</v>
      </c>
      <c r="Y505" s="2" t="s">
        <v>4698</v>
      </c>
      <c r="Z505" s="3" t="s">
        <v>4699</v>
      </c>
    </row>
    <row r="506" customFormat="false" ht="13.8" hidden="false" customHeight="false" outlineLevel="0" collapsed="false">
      <c r="A506" s="0" t="str">
        <f aca="false">CONCATENATE("__import__.res_partner_",C506)</f>
        <v>__import__.res_partner_20000010274</v>
      </c>
      <c r="B506" s="2" t="s">
        <v>4700</v>
      </c>
      <c r="C506" s="3" t="s">
        <v>4701</v>
      </c>
      <c r="D506" s="2" t="s">
        <v>4702</v>
      </c>
      <c r="F506" s="2" t="s">
        <v>30</v>
      </c>
      <c r="G506" s="2" t="s">
        <v>31</v>
      </c>
      <c r="H506" s="2" t="s">
        <v>32</v>
      </c>
      <c r="K506" s="2" t="s">
        <v>4703</v>
      </c>
      <c r="L506" s="3" t="s">
        <v>4704</v>
      </c>
      <c r="M506" s="2" t="s">
        <v>4705</v>
      </c>
      <c r="O506" s="2" t="s">
        <v>4706</v>
      </c>
      <c r="P506" s="2" t="s">
        <v>37</v>
      </c>
      <c r="Q506" s="2" t="s">
        <v>4707</v>
      </c>
      <c r="R506" s="3" t="s">
        <v>4708</v>
      </c>
      <c r="T506" s="2" t="s">
        <v>97</v>
      </c>
      <c r="X506" s="2" t="n">
        <v>10274</v>
      </c>
      <c r="Y506" s="2" t="s">
        <v>4709</v>
      </c>
      <c r="Z506" s="3" t="s">
        <v>4710</v>
      </c>
    </row>
    <row r="507" customFormat="false" ht="13.8" hidden="false" customHeight="false" outlineLevel="0" collapsed="false">
      <c r="A507" s="0" t="str">
        <f aca="false">CONCATENATE("__import__.res_partner_",C507)</f>
        <v>__import__.res_partner_20000010275</v>
      </c>
      <c r="B507" s="2" t="s">
        <v>4711</v>
      </c>
      <c r="C507" s="3" t="s">
        <v>4712</v>
      </c>
      <c r="D507" s="2" t="s">
        <v>4713</v>
      </c>
      <c r="F507" s="2" t="s">
        <v>30</v>
      </c>
      <c r="G507" s="2" t="s">
        <v>31</v>
      </c>
      <c r="H507" s="2" t="s">
        <v>32</v>
      </c>
      <c r="K507" s="2" t="s">
        <v>4714</v>
      </c>
      <c r="L507" s="3" t="s">
        <v>2743</v>
      </c>
      <c r="M507" s="2" t="s">
        <v>4715</v>
      </c>
      <c r="O507" s="2" t="s">
        <v>4716</v>
      </c>
      <c r="P507" s="2" t="s">
        <v>37</v>
      </c>
      <c r="T507" s="2" t="s">
        <v>40</v>
      </c>
      <c r="X507" s="2" t="n">
        <v>10275</v>
      </c>
      <c r="Y507" s="2" t="s">
        <v>4717</v>
      </c>
      <c r="Z507" s="3" t="s">
        <v>4718</v>
      </c>
    </row>
    <row r="508" customFormat="false" ht="13.8" hidden="false" customHeight="false" outlineLevel="0" collapsed="false">
      <c r="A508" s="0" t="str">
        <f aca="false">CONCATENATE("__import__.res_partner_",C508)</f>
        <v>__import__.res_partner_20000010276</v>
      </c>
      <c r="B508" s="2" t="s">
        <v>4719</v>
      </c>
      <c r="C508" s="3" t="s">
        <v>4720</v>
      </c>
      <c r="D508" s="2" t="s">
        <v>4721</v>
      </c>
      <c r="F508" s="2" t="s">
        <v>30</v>
      </c>
      <c r="G508" s="2" t="s">
        <v>31</v>
      </c>
      <c r="H508" s="2" t="s">
        <v>32</v>
      </c>
      <c r="K508" s="2" t="s">
        <v>4722</v>
      </c>
      <c r="L508" s="2" t="s">
        <v>4723</v>
      </c>
      <c r="M508" s="2" t="s">
        <v>4724</v>
      </c>
      <c r="O508" s="2" t="s">
        <v>4725</v>
      </c>
      <c r="P508" s="2" t="s">
        <v>4726</v>
      </c>
      <c r="Q508" s="2" t="s">
        <v>4727</v>
      </c>
      <c r="R508" s="3" t="s">
        <v>4728</v>
      </c>
      <c r="T508" s="2" t="s">
        <v>40</v>
      </c>
      <c r="X508" s="2" t="n">
        <v>10276</v>
      </c>
      <c r="Y508" s="2" t="s">
        <v>4729</v>
      </c>
      <c r="Z508" s="3" t="s">
        <v>4730</v>
      </c>
    </row>
    <row r="509" customFormat="false" ht="13.8" hidden="false" customHeight="false" outlineLevel="0" collapsed="false">
      <c r="A509" s="0" t="str">
        <f aca="false">CONCATENATE("__import__.res_partner_",C509)</f>
        <v>__import__.res_partner_20000010277</v>
      </c>
      <c r="B509" s="2" t="s">
        <v>4731</v>
      </c>
      <c r="C509" s="3" t="s">
        <v>4732</v>
      </c>
      <c r="D509" s="2" t="s">
        <v>4733</v>
      </c>
      <c r="F509" s="2" t="s">
        <v>30</v>
      </c>
      <c r="G509" s="2" t="s">
        <v>31</v>
      </c>
      <c r="H509" s="2" t="s">
        <v>32</v>
      </c>
      <c r="K509" s="2" t="s">
        <v>4734</v>
      </c>
      <c r="L509" s="3" t="s">
        <v>4735</v>
      </c>
      <c r="M509" s="2" t="s">
        <v>4736</v>
      </c>
      <c r="N509" s="2" t="s">
        <v>4737</v>
      </c>
      <c r="O509" s="2" t="s">
        <v>4738</v>
      </c>
      <c r="P509" s="2" t="s">
        <v>563</v>
      </c>
      <c r="Q509" s="2" t="s">
        <v>4739</v>
      </c>
      <c r="R509" s="2" t="s">
        <v>4740</v>
      </c>
      <c r="T509" s="2" t="s">
        <v>4741</v>
      </c>
      <c r="U509" s="2" t="s">
        <v>4742</v>
      </c>
      <c r="W509" s="2" t="s">
        <v>4743</v>
      </c>
      <c r="X509" s="2" t="n">
        <v>10277</v>
      </c>
      <c r="Y509" s="2" t="s">
        <v>4744</v>
      </c>
      <c r="Z509" s="3" t="s">
        <v>4745</v>
      </c>
    </row>
    <row r="510" customFormat="false" ht="13.8" hidden="false" customHeight="false" outlineLevel="0" collapsed="false">
      <c r="A510" s="0" t="str">
        <f aca="false">CONCATENATE("__import__.res_partner_",C510)</f>
        <v>__import__.res_partner_20000010278</v>
      </c>
      <c r="B510" s="2" t="s">
        <v>4746</v>
      </c>
      <c r="C510" s="3" t="s">
        <v>4747</v>
      </c>
      <c r="D510" s="2" t="s">
        <v>4748</v>
      </c>
      <c r="F510" s="2" t="s">
        <v>30</v>
      </c>
      <c r="G510" s="2" t="s">
        <v>31</v>
      </c>
      <c r="H510" s="2" t="s">
        <v>32</v>
      </c>
      <c r="K510" s="2" t="s">
        <v>4749</v>
      </c>
      <c r="L510" s="3" t="s">
        <v>4750</v>
      </c>
      <c r="M510" s="2" t="s">
        <v>4751</v>
      </c>
      <c r="O510" s="2" t="s">
        <v>4752</v>
      </c>
      <c r="P510" s="2" t="s">
        <v>37</v>
      </c>
      <c r="Q510" s="2" t="s">
        <v>4753</v>
      </c>
      <c r="R510" s="2" t="s">
        <v>4754</v>
      </c>
      <c r="T510" s="2" t="s">
        <v>40</v>
      </c>
      <c r="X510" s="2" t="n">
        <v>10278</v>
      </c>
      <c r="Y510" s="2" t="s">
        <v>4755</v>
      </c>
      <c r="Z510" s="3" t="s">
        <v>4756</v>
      </c>
    </row>
    <row r="511" customFormat="false" ht="13.8" hidden="false" customHeight="false" outlineLevel="0" collapsed="false">
      <c r="A511" s="0" t="str">
        <f aca="false">CONCATENATE("__import__.res_partner_",C511)</f>
        <v>__import__.res_partner_20000010279</v>
      </c>
      <c r="B511" s="2" t="s">
        <v>4757</v>
      </c>
      <c r="C511" s="3" t="s">
        <v>4758</v>
      </c>
      <c r="D511" s="2" t="s">
        <v>4759</v>
      </c>
      <c r="F511" s="2" t="s">
        <v>30</v>
      </c>
      <c r="G511" s="2" t="s">
        <v>31</v>
      </c>
      <c r="H511" s="2" t="s">
        <v>32</v>
      </c>
      <c r="K511" s="2" t="s">
        <v>4760</v>
      </c>
      <c r="L511" s="3" t="s">
        <v>4761</v>
      </c>
      <c r="M511" s="2" t="s">
        <v>4762</v>
      </c>
      <c r="O511" s="2" t="s">
        <v>1647</v>
      </c>
      <c r="P511" s="2" t="s">
        <v>37</v>
      </c>
      <c r="Q511" s="2" t="s">
        <v>232</v>
      </c>
      <c r="R511" s="2" t="s">
        <v>4763</v>
      </c>
      <c r="T511" s="2" t="s">
        <v>40</v>
      </c>
      <c r="X511" s="2" t="n">
        <v>10279</v>
      </c>
      <c r="Y511" s="2" t="s">
        <v>4764</v>
      </c>
      <c r="Z511" s="3" t="s">
        <v>4765</v>
      </c>
      <c r="AA511" s="2" t="s">
        <v>4766</v>
      </c>
    </row>
    <row r="512" customFormat="false" ht="13.8" hidden="false" customHeight="false" outlineLevel="0" collapsed="false">
      <c r="A512" s="0" t="str">
        <f aca="false">CONCATENATE("__import__.res_partner_",C512)</f>
        <v>__import__.res_partner_20000010280</v>
      </c>
      <c r="B512" s="2" t="s">
        <v>4767</v>
      </c>
      <c r="C512" s="3" t="s">
        <v>4768</v>
      </c>
      <c r="D512" s="2" t="s">
        <v>4769</v>
      </c>
      <c r="F512" s="2" t="s">
        <v>30</v>
      </c>
      <c r="G512" s="2" t="s">
        <v>31</v>
      </c>
      <c r="H512" s="2" t="s">
        <v>32</v>
      </c>
      <c r="K512" s="2" t="s">
        <v>4770</v>
      </c>
      <c r="L512" s="3" t="s">
        <v>2763</v>
      </c>
      <c r="M512" s="2" t="s">
        <v>4771</v>
      </c>
      <c r="O512" s="2" t="s">
        <v>3689</v>
      </c>
      <c r="P512" s="2" t="s">
        <v>37</v>
      </c>
      <c r="Q512" s="2" t="s">
        <v>4772</v>
      </c>
      <c r="R512" s="2" t="s">
        <v>4773</v>
      </c>
      <c r="T512" s="2" t="s">
        <v>40</v>
      </c>
      <c r="X512" s="2" t="n">
        <v>10280</v>
      </c>
      <c r="Z512" s="3" t="s">
        <v>4774</v>
      </c>
      <c r="AA512" s="2" t="s">
        <v>4775</v>
      </c>
    </row>
    <row r="513" customFormat="false" ht="13.8" hidden="false" customHeight="false" outlineLevel="0" collapsed="false">
      <c r="A513" s="0" t="str">
        <f aca="false">CONCATENATE("__import__.res_partner_",C513)</f>
        <v>__import__.res_partner_20000010281</v>
      </c>
      <c r="B513" s="2" t="s">
        <v>4776</v>
      </c>
      <c r="C513" s="3" t="s">
        <v>4777</v>
      </c>
      <c r="D513" s="2" t="s">
        <v>4778</v>
      </c>
      <c r="F513" s="2" t="s">
        <v>30</v>
      </c>
      <c r="G513" s="2" t="s">
        <v>31</v>
      </c>
      <c r="H513" s="2" t="s">
        <v>32</v>
      </c>
      <c r="K513" s="2" t="s">
        <v>4779</v>
      </c>
      <c r="L513" s="3" t="s">
        <v>3257</v>
      </c>
      <c r="M513" s="2" t="s">
        <v>4780</v>
      </c>
      <c r="O513" s="2" t="s">
        <v>2881</v>
      </c>
      <c r="P513" s="2" t="s">
        <v>37</v>
      </c>
      <c r="R513" s="2" t="s">
        <v>4781</v>
      </c>
      <c r="T513" s="2" t="s">
        <v>76</v>
      </c>
      <c r="X513" s="2" t="n">
        <v>10281</v>
      </c>
      <c r="Y513" s="2" t="s">
        <v>4782</v>
      </c>
      <c r="Z513" s="3" t="s">
        <v>4783</v>
      </c>
    </row>
    <row r="514" customFormat="false" ht="13.8" hidden="false" customHeight="false" outlineLevel="0" collapsed="false">
      <c r="A514" s="0" t="str">
        <f aca="false">CONCATENATE("__import__.res_partner_",C514)</f>
        <v>__import__.res_partner_20000010282</v>
      </c>
      <c r="B514" s="2" t="s">
        <v>4784</v>
      </c>
      <c r="C514" s="3" t="s">
        <v>4785</v>
      </c>
      <c r="D514" s="2" t="s">
        <v>4786</v>
      </c>
      <c r="F514" s="3" t="s">
        <v>557</v>
      </c>
      <c r="G514" s="2" t="s">
        <v>31</v>
      </c>
      <c r="H514" s="2" t="s">
        <v>32</v>
      </c>
      <c r="K514" s="2" t="s">
        <v>4787</v>
      </c>
      <c r="L514" s="3" t="s">
        <v>4788</v>
      </c>
      <c r="M514" s="2" t="s">
        <v>4789</v>
      </c>
      <c r="O514" s="2" t="s">
        <v>4160</v>
      </c>
      <c r="P514" s="2" t="s">
        <v>37</v>
      </c>
      <c r="T514" s="2" t="s">
        <v>697</v>
      </c>
      <c r="U514" s="2" t="s">
        <v>4790</v>
      </c>
      <c r="V514" s="2" t="s">
        <v>4791</v>
      </c>
      <c r="X514" s="2" t="n">
        <v>10282</v>
      </c>
      <c r="Y514" s="2" t="s">
        <v>678</v>
      </c>
      <c r="Z514" s="3" t="s">
        <v>4792</v>
      </c>
    </row>
    <row r="515" customFormat="false" ht="13.8" hidden="false" customHeight="false" outlineLevel="0" collapsed="false">
      <c r="A515" s="0" t="str">
        <f aca="false">CONCATENATE("__import__.res_partner_",C515)</f>
        <v>__import__.res_partner_20000010283</v>
      </c>
      <c r="B515" s="2" t="s">
        <v>4793</v>
      </c>
      <c r="C515" s="3" t="s">
        <v>4794</v>
      </c>
      <c r="D515" s="2" t="s">
        <v>4795</v>
      </c>
      <c r="F515" s="2" t="s">
        <v>30</v>
      </c>
      <c r="G515" s="2" t="s">
        <v>31</v>
      </c>
      <c r="H515" s="2" t="s">
        <v>32</v>
      </c>
      <c r="K515" s="2" t="s">
        <v>4796</v>
      </c>
      <c r="L515" s="3" t="s">
        <v>4058</v>
      </c>
      <c r="M515" s="2" t="s">
        <v>4797</v>
      </c>
      <c r="O515" s="2" t="s">
        <v>2709</v>
      </c>
      <c r="P515" s="2" t="s">
        <v>37</v>
      </c>
      <c r="T515" s="2" t="s">
        <v>76</v>
      </c>
      <c r="X515" s="2" t="n">
        <v>10283</v>
      </c>
      <c r="Y515" s="2" t="s">
        <v>4798</v>
      </c>
      <c r="Z515" s="3" t="s">
        <v>4799</v>
      </c>
    </row>
    <row r="516" customFormat="false" ht="13.8" hidden="false" customHeight="false" outlineLevel="0" collapsed="false">
      <c r="A516" s="0" t="str">
        <f aca="false">CONCATENATE("__import__.res_partner_",C516)</f>
        <v>__import__.res_partner_20000010284</v>
      </c>
      <c r="B516" s="2" t="s">
        <v>4800</v>
      </c>
      <c r="C516" s="3" t="s">
        <v>4801</v>
      </c>
      <c r="D516" s="2" t="s">
        <v>4802</v>
      </c>
      <c r="F516" s="2" t="s">
        <v>30</v>
      </c>
      <c r="G516" s="2" t="s">
        <v>31</v>
      </c>
      <c r="H516" s="2" t="s">
        <v>32</v>
      </c>
      <c r="K516" s="2" t="s">
        <v>4803</v>
      </c>
      <c r="L516" s="3" t="s">
        <v>2763</v>
      </c>
      <c r="M516" s="2" t="s">
        <v>4804</v>
      </c>
      <c r="O516" s="2" t="s">
        <v>3689</v>
      </c>
      <c r="P516" s="2" t="s">
        <v>37</v>
      </c>
      <c r="Q516" s="2" t="s">
        <v>4805</v>
      </c>
      <c r="R516" s="3" t="s">
        <v>4806</v>
      </c>
      <c r="T516" s="2" t="s">
        <v>76</v>
      </c>
      <c r="X516" s="2" t="n">
        <v>10284</v>
      </c>
      <c r="Y516" s="2" t="s">
        <v>678</v>
      </c>
      <c r="Z516" s="3" t="s">
        <v>4807</v>
      </c>
    </row>
    <row r="517" customFormat="false" ht="13.8" hidden="false" customHeight="false" outlineLevel="0" collapsed="false">
      <c r="A517" s="0" t="str">
        <f aca="false">CONCATENATE("__import__.res_partner_",C517)</f>
        <v>__import__.res_partner_20000010285</v>
      </c>
      <c r="B517" s="2" t="s">
        <v>4808</v>
      </c>
      <c r="C517" s="3" t="s">
        <v>4809</v>
      </c>
      <c r="D517" s="2" t="s">
        <v>4810</v>
      </c>
      <c r="F517" s="2" t="s">
        <v>30</v>
      </c>
      <c r="G517" s="2" t="s">
        <v>31</v>
      </c>
      <c r="H517" s="2" t="s">
        <v>32</v>
      </c>
      <c r="K517" s="2" t="s">
        <v>4811</v>
      </c>
      <c r="L517" s="3" t="s">
        <v>4812</v>
      </c>
      <c r="M517" s="2" t="s">
        <v>4813</v>
      </c>
      <c r="O517" s="2" t="s">
        <v>4814</v>
      </c>
      <c r="P517" s="2" t="s">
        <v>37</v>
      </c>
      <c r="R517" s="2" t="s">
        <v>4815</v>
      </c>
      <c r="T517" s="2" t="s">
        <v>76</v>
      </c>
      <c r="X517" s="2" t="n">
        <v>10285</v>
      </c>
      <c r="Y517" s="2" t="s">
        <v>4816</v>
      </c>
      <c r="Z517" s="3" t="s">
        <v>4817</v>
      </c>
    </row>
    <row r="518" customFormat="false" ht="13.8" hidden="false" customHeight="false" outlineLevel="0" collapsed="false">
      <c r="A518" s="0" t="str">
        <f aca="false">CONCATENATE("__import__.res_partner_",C518)</f>
        <v>__import__.res_partner_20000010286</v>
      </c>
      <c r="B518" s="2" t="s">
        <v>4818</v>
      </c>
      <c r="C518" s="3" t="s">
        <v>4819</v>
      </c>
      <c r="D518" s="2" t="s">
        <v>4820</v>
      </c>
      <c r="F518" s="2" t="s">
        <v>30</v>
      </c>
      <c r="G518" s="2" t="s">
        <v>31</v>
      </c>
      <c r="H518" s="2" t="s">
        <v>32</v>
      </c>
      <c r="K518" s="2" t="s">
        <v>4821</v>
      </c>
      <c r="L518" s="3" t="s">
        <v>4822</v>
      </c>
      <c r="M518" s="2" t="s">
        <v>4823</v>
      </c>
      <c r="N518" s="2" t="s">
        <v>4824</v>
      </c>
      <c r="O518" s="2" t="s">
        <v>3689</v>
      </c>
      <c r="P518" s="2" t="s">
        <v>37</v>
      </c>
      <c r="Q518" s="2" t="s">
        <v>4825</v>
      </c>
      <c r="R518" s="3" t="s">
        <v>4826</v>
      </c>
      <c r="T518" s="2" t="s">
        <v>76</v>
      </c>
      <c r="X518" s="2" t="n">
        <v>10286</v>
      </c>
      <c r="Y518" s="2" t="s">
        <v>678</v>
      </c>
      <c r="Z518" s="3" t="s">
        <v>4827</v>
      </c>
    </row>
    <row r="519" customFormat="false" ht="13.8" hidden="false" customHeight="false" outlineLevel="0" collapsed="false">
      <c r="A519" s="0" t="str">
        <f aca="false">CONCATENATE("__import__.res_partner_",C519)</f>
        <v>__import__.res_partner_20000010287</v>
      </c>
      <c r="B519" s="2" t="s">
        <v>4828</v>
      </c>
      <c r="C519" s="3" t="s">
        <v>4829</v>
      </c>
      <c r="D519" s="2" t="s">
        <v>4830</v>
      </c>
      <c r="F519" s="2" t="s">
        <v>30</v>
      </c>
      <c r="G519" s="2" t="s">
        <v>31</v>
      </c>
      <c r="H519" s="2" t="s">
        <v>32</v>
      </c>
      <c r="K519" s="2" t="s">
        <v>4831</v>
      </c>
      <c r="L519" s="3" t="s">
        <v>3003</v>
      </c>
      <c r="M519" s="2" t="s">
        <v>4832</v>
      </c>
      <c r="O519" s="2" t="s">
        <v>2754</v>
      </c>
      <c r="P519" s="2" t="s">
        <v>37</v>
      </c>
      <c r="Q519" s="2" t="s">
        <v>4833</v>
      </c>
      <c r="R519" s="2" t="s">
        <v>4834</v>
      </c>
      <c r="T519" s="2" t="s">
        <v>97</v>
      </c>
      <c r="X519" s="2" t="n">
        <v>10287</v>
      </c>
      <c r="Y519" s="2" t="s">
        <v>678</v>
      </c>
      <c r="Z519" s="3" t="s">
        <v>4835</v>
      </c>
    </row>
    <row r="520" customFormat="false" ht="13.8" hidden="false" customHeight="false" outlineLevel="0" collapsed="false">
      <c r="A520" s="0" t="str">
        <f aca="false">CONCATENATE("__import__.res_partner_",C520)</f>
        <v>__import__.res_partner_20000010288</v>
      </c>
      <c r="B520" s="2" t="s">
        <v>4836</v>
      </c>
      <c r="C520" s="3" t="s">
        <v>4837</v>
      </c>
      <c r="D520" s="2" t="s">
        <v>4838</v>
      </c>
      <c r="F520" s="2" t="s">
        <v>30</v>
      </c>
      <c r="G520" s="2" t="s">
        <v>31</v>
      </c>
      <c r="H520" s="2" t="s">
        <v>32</v>
      </c>
      <c r="K520" s="2" t="s">
        <v>4839</v>
      </c>
      <c r="L520" s="3" t="s">
        <v>4439</v>
      </c>
      <c r="M520" s="2" t="s">
        <v>4840</v>
      </c>
      <c r="O520" s="2" t="s">
        <v>36</v>
      </c>
      <c r="P520" s="2" t="s">
        <v>37</v>
      </c>
      <c r="Q520" s="2" t="s">
        <v>4841</v>
      </c>
      <c r="R520" s="2" t="s">
        <v>4842</v>
      </c>
      <c r="T520" s="2" t="s">
        <v>76</v>
      </c>
      <c r="X520" s="2" t="n">
        <v>10288</v>
      </c>
      <c r="Y520" s="2" t="s">
        <v>678</v>
      </c>
      <c r="Z520" s="3" t="s">
        <v>4843</v>
      </c>
    </row>
    <row r="521" customFormat="false" ht="13.8" hidden="false" customHeight="false" outlineLevel="0" collapsed="false">
      <c r="A521" s="0" t="str">
        <f aca="false">CONCATENATE("__import__.res_partner_",C521)</f>
        <v>__import__.res_partner_20000010289</v>
      </c>
      <c r="B521" s="2" t="s">
        <v>4844</v>
      </c>
      <c r="C521" s="3" t="s">
        <v>4845</v>
      </c>
      <c r="D521" s="2" t="s">
        <v>4846</v>
      </c>
      <c r="F521" s="2" t="s">
        <v>30</v>
      </c>
      <c r="G521" s="2" t="s">
        <v>31</v>
      </c>
      <c r="H521" s="2" t="s">
        <v>32</v>
      </c>
      <c r="K521" s="2" t="s">
        <v>4847</v>
      </c>
      <c r="L521" s="3" t="s">
        <v>4417</v>
      </c>
      <c r="M521" s="2" t="s">
        <v>4848</v>
      </c>
      <c r="N521" s="2" t="s">
        <v>4849</v>
      </c>
      <c r="O521" s="2" t="s">
        <v>2510</v>
      </c>
      <c r="P521" s="2" t="s">
        <v>37</v>
      </c>
      <c r="Q521" s="2" t="s">
        <v>4850</v>
      </c>
      <c r="R521" s="2" t="s">
        <v>4851</v>
      </c>
      <c r="T521" s="2" t="s">
        <v>97</v>
      </c>
      <c r="X521" s="2" t="n">
        <v>10289</v>
      </c>
      <c r="Y521" s="2" t="s">
        <v>678</v>
      </c>
      <c r="Z521" s="3" t="s">
        <v>4852</v>
      </c>
    </row>
    <row r="522" customFormat="false" ht="13.8" hidden="false" customHeight="false" outlineLevel="0" collapsed="false">
      <c r="A522" s="0" t="str">
        <f aca="false">CONCATENATE("__import__.res_partner_",C522)</f>
        <v>__import__.res_partner_20000010290</v>
      </c>
      <c r="B522" s="2" t="s">
        <v>4853</v>
      </c>
      <c r="C522" s="3" t="s">
        <v>4854</v>
      </c>
      <c r="D522" s="2" t="s">
        <v>4855</v>
      </c>
      <c r="F522" s="2" t="s">
        <v>30</v>
      </c>
      <c r="G522" s="2" t="s">
        <v>31</v>
      </c>
      <c r="H522" s="2" t="s">
        <v>32</v>
      </c>
      <c r="K522" s="2" t="s">
        <v>4856</v>
      </c>
      <c r="L522" s="3" t="s">
        <v>4857</v>
      </c>
      <c r="M522" s="2" t="s">
        <v>4858</v>
      </c>
      <c r="O522" s="2" t="s">
        <v>4859</v>
      </c>
      <c r="P522" s="2" t="s">
        <v>37</v>
      </c>
      <c r="R522" s="2" t="s">
        <v>4860</v>
      </c>
      <c r="T522" s="2" t="s">
        <v>76</v>
      </c>
      <c r="X522" s="2" t="n">
        <v>10290</v>
      </c>
      <c r="Y522" s="2" t="s">
        <v>4861</v>
      </c>
      <c r="Z522" s="3" t="s">
        <v>4862</v>
      </c>
    </row>
    <row r="523" customFormat="false" ht="13.8" hidden="false" customHeight="false" outlineLevel="0" collapsed="false">
      <c r="A523" s="0" t="str">
        <f aca="false">CONCATENATE("__import__.res_partner_",C523)</f>
        <v>__import__.res_partner_20000010291</v>
      </c>
      <c r="B523" s="2" t="s">
        <v>4863</v>
      </c>
      <c r="C523" s="3" t="s">
        <v>4864</v>
      </c>
      <c r="D523" s="2" t="s">
        <v>4865</v>
      </c>
      <c r="F523" s="2" t="s">
        <v>30</v>
      </c>
      <c r="G523" s="2" t="s">
        <v>31</v>
      </c>
      <c r="H523" s="2" t="s">
        <v>32</v>
      </c>
      <c r="K523" s="2" t="s">
        <v>4866</v>
      </c>
      <c r="L523" s="2" t="s">
        <v>4867</v>
      </c>
      <c r="M523" s="2" t="s">
        <v>4868</v>
      </c>
      <c r="O523" s="2" t="s">
        <v>4869</v>
      </c>
      <c r="P523" s="2" t="s">
        <v>675</v>
      </c>
      <c r="T523" s="2" t="s">
        <v>76</v>
      </c>
      <c r="X523" s="2" t="n">
        <v>10291</v>
      </c>
      <c r="Y523" s="2" t="s">
        <v>4870</v>
      </c>
      <c r="Z523" s="3" t="s">
        <v>4871</v>
      </c>
    </row>
    <row r="524" customFormat="false" ht="13.8" hidden="false" customHeight="false" outlineLevel="0" collapsed="false">
      <c r="A524" s="0" t="str">
        <f aca="false">CONCATENATE("__import__.res_partner_",C524)</f>
        <v>__import__.res_partner_20000010292</v>
      </c>
      <c r="B524" s="2" t="s">
        <v>4872</v>
      </c>
      <c r="C524" s="3" t="s">
        <v>4873</v>
      </c>
      <c r="D524" s="2" t="s">
        <v>4874</v>
      </c>
      <c r="F524" s="2" t="s">
        <v>30</v>
      </c>
      <c r="G524" s="2" t="s">
        <v>31</v>
      </c>
      <c r="H524" s="2" t="s">
        <v>32</v>
      </c>
      <c r="K524" s="2" t="s">
        <v>4875</v>
      </c>
      <c r="L524" s="3" t="s">
        <v>4218</v>
      </c>
      <c r="M524" s="2" t="s">
        <v>4876</v>
      </c>
      <c r="O524" s="2" t="s">
        <v>2754</v>
      </c>
      <c r="P524" s="2" t="s">
        <v>37</v>
      </c>
      <c r="T524" s="2" t="s">
        <v>97</v>
      </c>
      <c r="X524" s="2" t="n">
        <v>10292</v>
      </c>
      <c r="Y524" s="2" t="s">
        <v>4877</v>
      </c>
      <c r="Z524" s="3" t="s">
        <v>4878</v>
      </c>
    </row>
    <row r="525" customFormat="false" ht="13.8" hidden="false" customHeight="false" outlineLevel="0" collapsed="false">
      <c r="A525" s="0" t="str">
        <f aca="false">CONCATENATE("__import__.res_partner_",C525)</f>
        <v>__import__.res_partner_20000010293</v>
      </c>
      <c r="B525" s="2" t="s">
        <v>4879</v>
      </c>
      <c r="C525" s="3" t="s">
        <v>4880</v>
      </c>
      <c r="D525" s="2" t="s">
        <v>4881</v>
      </c>
      <c r="F525" s="2" t="s">
        <v>30</v>
      </c>
      <c r="G525" s="2" t="s">
        <v>31</v>
      </c>
      <c r="H525" s="2" t="s">
        <v>32</v>
      </c>
      <c r="K525" s="2" t="s">
        <v>4882</v>
      </c>
      <c r="L525" s="3" t="s">
        <v>4883</v>
      </c>
      <c r="M525" s="2" t="s">
        <v>4884</v>
      </c>
      <c r="O525" s="2" t="s">
        <v>4885</v>
      </c>
      <c r="P525" s="2" t="s">
        <v>37</v>
      </c>
      <c r="Q525" s="2" t="s">
        <v>4886</v>
      </c>
      <c r="R525" s="3" t="s">
        <v>4887</v>
      </c>
      <c r="T525" s="2" t="s">
        <v>97</v>
      </c>
      <c r="X525" s="2" t="n">
        <v>10293</v>
      </c>
      <c r="Y525" s="2" t="s">
        <v>4888</v>
      </c>
      <c r="Z525" s="3" t="s">
        <v>4889</v>
      </c>
    </row>
    <row r="526" customFormat="false" ht="13.8" hidden="false" customHeight="false" outlineLevel="0" collapsed="false">
      <c r="A526" s="0" t="str">
        <f aca="false">CONCATENATE("__import__.res_partner_",C526)</f>
        <v>__import__.res_partner_20000010294</v>
      </c>
      <c r="B526" s="2" t="s">
        <v>4890</v>
      </c>
      <c r="C526" s="3" t="s">
        <v>4891</v>
      </c>
      <c r="D526" s="2" t="s">
        <v>4892</v>
      </c>
      <c r="F526" s="2" t="s">
        <v>30</v>
      </c>
      <c r="G526" s="2" t="s">
        <v>31</v>
      </c>
      <c r="H526" s="2" t="s">
        <v>32</v>
      </c>
      <c r="K526" s="2" t="s">
        <v>4893</v>
      </c>
      <c r="L526" s="3" t="s">
        <v>4822</v>
      </c>
      <c r="M526" s="2" t="s">
        <v>4894</v>
      </c>
      <c r="O526" s="2" t="s">
        <v>4143</v>
      </c>
      <c r="P526" s="2" t="s">
        <v>37</v>
      </c>
      <c r="Q526" s="2" t="s">
        <v>4895</v>
      </c>
      <c r="R526" s="2" t="s">
        <v>4896</v>
      </c>
      <c r="T526" s="2" t="s">
        <v>76</v>
      </c>
      <c r="X526" s="2" t="n">
        <v>10294</v>
      </c>
      <c r="Y526" s="2" t="s">
        <v>678</v>
      </c>
      <c r="Z526" s="3" t="s">
        <v>4897</v>
      </c>
    </row>
    <row r="527" customFormat="false" ht="13.8" hidden="false" customHeight="false" outlineLevel="0" collapsed="false">
      <c r="A527" s="0" t="str">
        <f aca="false">CONCATENATE("__import__.res_partner_",C527)</f>
        <v>__import__.res_partner_20000010295</v>
      </c>
      <c r="B527" s="2" t="s">
        <v>4898</v>
      </c>
      <c r="C527" s="3" t="s">
        <v>4899</v>
      </c>
      <c r="D527" s="2" t="s">
        <v>4900</v>
      </c>
      <c r="F527" s="2" t="s">
        <v>30</v>
      </c>
      <c r="G527" s="2" t="s">
        <v>31</v>
      </c>
      <c r="H527" s="2" t="s">
        <v>32</v>
      </c>
      <c r="K527" s="2" t="s">
        <v>4901</v>
      </c>
      <c r="L527" s="3" t="s">
        <v>1469</v>
      </c>
      <c r="M527" s="2" t="s">
        <v>4902</v>
      </c>
      <c r="O527" s="2" t="s">
        <v>3024</v>
      </c>
      <c r="P527" s="2" t="s">
        <v>37</v>
      </c>
      <c r="Q527" s="2" t="s">
        <v>4903</v>
      </c>
      <c r="R527" s="2" t="s">
        <v>4904</v>
      </c>
      <c r="T527" s="2" t="s">
        <v>97</v>
      </c>
      <c r="X527" s="2" t="n">
        <v>10295</v>
      </c>
      <c r="Y527" s="2" t="s">
        <v>4905</v>
      </c>
      <c r="Z527" s="3" t="s">
        <v>4906</v>
      </c>
    </row>
    <row r="528" customFormat="false" ht="13.8" hidden="false" customHeight="false" outlineLevel="0" collapsed="false">
      <c r="A528" s="0" t="str">
        <f aca="false">CONCATENATE("__import__.res_partner_",C528)</f>
        <v>__import__.res_partner_20000010296</v>
      </c>
      <c r="B528" s="2" t="s">
        <v>4907</v>
      </c>
      <c r="C528" s="3" t="s">
        <v>4908</v>
      </c>
      <c r="D528" s="2" t="s">
        <v>4909</v>
      </c>
      <c r="F528" s="2" t="s">
        <v>30</v>
      </c>
      <c r="G528" s="2" t="s">
        <v>31</v>
      </c>
      <c r="H528" s="2" t="s">
        <v>32</v>
      </c>
      <c r="K528" s="2" t="s">
        <v>4910</v>
      </c>
      <c r="L528" s="3" t="s">
        <v>4911</v>
      </c>
      <c r="M528" s="2" t="s">
        <v>4912</v>
      </c>
      <c r="O528" s="2" t="s">
        <v>1058</v>
      </c>
      <c r="P528" s="2" t="s">
        <v>37</v>
      </c>
      <c r="Q528" s="2" t="s">
        <v>4913</v>
      </c>
      <c r="R528" s="2" t="s">
        <v>4914</v>
      </c>
      <c r="T528" s="2" t="s">
        <v>4915</v>
      </c>
      <c r="X528" s="2" t="n">
        <v>10296</v>
      </c>
      <c r="Y528" s="2" t="s">
        <v>4916</v>
      </c>
      <c r="Z528" s="3" t="s">
        <v>4917</v>
      </c>
    </row>
    <row r="529" customFormat="false" ht="13.8" hidden="false" customHeight="false" outlineLevel="0" collapsed="false">
      <c r="A529" s="0" t="str">
        <f aca="false">CONCATENATE("__import__.res_partner_",C529)</f>
        <v>__import__.res_partner_20000010297</v>
      </c>
      <c r="B529" s="2" t="s">
        <v>4918</v>
      </c>
      <c r="C529" s="3" t="s">
        <v>4919</v>
      </c>
      <c r="D529" s="2" t="s">
        <v>4920</v>
      </c>
      <c r="F529" s="3" t="s">
        <v>557</v>
      </c>
      <c r="G529" s="2" t="s">
        <v>31</v>
      </c>
      <c r="H529" s="2" t="s">
        <v>32</v>
      </c>
      <c r="K529" s="2" t="s">
        <v>4921</v>
      </c>
      <c r="L529" s="3" t="s">
        <v>4922</v>
      </c>
      <c r="M529" s="2" t="s">
        <v>4923</v>
      </c>
      <c r="O529" s="2" t="s">
        <v>4924</v>
      </c>
      <c r="P529" s="2" t="s">
        <v>37</v>
      </c>
      <c r="Q529" s="2" t="s">
        <v>4925</v>
      </c>
      <c r="R529" s="3" t="s">
        <v>4926</v>
      </c>
      <c r="T529" s="2" t="s">
        <v>76</v>
      </c>
      <c r="X529" s="2" t="n">
        <v>10297</v>
      </c>
      <c r="Y529" s="2" t="s">
        <v>4927</v>
      </c>
      <c r="Z529" s="3" t="s">
        <v>4928</v>
      </c>
    </row>
    <row r="530" customFormat="false" ht="13.8" hidden="false" customHeight="false" outlineLevel="0" collapsed="false">
      <c r="A530" s="0" t="str">
        <f aca="false">CONCATENATE("__import__.res_partner_",C530)</f>
        <v>__import__.res_partner_20000010298</v>
      </c>
      <c r="B530" s="2" t="s">
        <v>4929</v>
      </c>
      <c r="C530" s="3" t="s">
        <v>4930</v>
      </c>
      <c r="D530" s="2" t="s">
        <v>4931</v>
      </c>
      <c r="F530" s="2" t="s">
        <v>30</v>
      </c>
      <c r="G530" s="2" t="s">
        <v>31</v>
      </c>
      <c r="H530" s="2" t="s">
        <v>32</v>
      </c>
      <c r="K530" s="2" t="s">
        <v>4932</v>
      </c>
      <c r="L530" s="3" t="s">
        <v>4933</v>
      </c>
      <c r="M530" s="2" t="s">
        <v>4934</v>
      </c>
      <c r="O530" s="2" t="s">
        <v>4143</v>
      </c>
      <c r="P530" s="2" t="s">
        <v>37</v>
      </c>
      <c r="Q530" s="2" t="s">
        <v>4935</v>
      </c>
      <c r="R530" s="2" t="s">
        <v>4936</v>
      </c>
      <c r="T530" s="2" t="s">
        <v>697</v>
      </c>
      <c r="V530" s="2" t="s">
        <v>4271</v>
      </c>
      <c r="W530" s="2" t="s">
        <v>4937</v>
      </c>
      <c r="X530" s="2" t="n">
        <v>10298</v>
      </c>
      <c r="Y530" s="2" t="s">
        <v>678</v>
      </c>
      <c r="Z530" s="3" t="s">
        <v>4938</v>
      </c>
    </row>
    <row r="531" customFormat="false" ht="13.8" hidden="false" customHeight="false" outlineLevel="0" collapsed="false">
      <c r="A531" s="0" t="str">
        <f aca="false">CONCATENATE("__import__.res_partner_",C531)</f>
        <v>__import__.res_partner_20000010299</v>
      </c>
      <c r="B531" s="2" t="s">
        <v>4939</v>
      </c>
      <c r="C531" s="3" t="s">
        <v>4940</v>
      </c>
      <c r="D531" s="2" t="s">
        <v>4941</v>
      </c>
      <c r="F531" s="3" t="s">
        <v>557</v>
      </c>
      <c r="G531" s="2" t="s">
        <v>31</v>
      </c>
      <c r="H531" s="2" t="s">
        <v>32</v>
      </c>
      <c r="K531" s="2" t="s">
        <v>4942</v>
      </c>
      <c r="L531" s="3" t="s">
        <v>4943</v>
      </c>
      <c r="M531" s="2" t="s">
        <v>4944</v>
      </c>
      <c r="O531" s="2" t="s">
        <v>2754</v>
      </c>
      <c r="P531" s="2" t="s">
        <v>37</v>
      </c>
      <c r="T531" s="2" t="s">
        <v>97</v>
      </c>
      <c r="X531" s="2" t="n">
        <v>10299</v>
      </c>
      <c r="Y531" s="2" t="s">
        <v>4945</v>
      </c>
      <c r="Z531" s="3" t="s">
        <v>4946</v>
      </c>
    </row>
    <row r="532" customFormat="false" ht="13.8" hidden="false" customHeight="false" outlineLevel="0" collapsed="false">
      <c r="A532" s="0" t="str">
        <f aca="false">CONCATENATE("__import__.res_partner_",C532)</f>
        <v>__import__.res_partner_20000010300</v>
      </c>
      <c r="B532" s="2" t="s">
        <v>4947</v>
      </c>
      <c r="C532" s="3" t="s">
        <v>4948</v>
      </c>
      <c r="D532" s="2" t="s">
        <v>4949</v>
      </c>
      <c r="F532" s="2" t="s">
        <v>30</v>
      </c>
      <c r="G532" s="2" t="s">
        <v>31</v>
      </c>
      <c r="H532" s="2" t="s">
        <v>32</v>
      </c>
      <c r="K532" s="2" t="s">
        <v>4950</v>
      </c>
      <c r="L532" s="3" t="s">
        <v>2763</v>
      </c>
      <c r="M532" s="2" t="s">
        <v>4951</v>
      </c>
      <c r="O532" s="2" t="s">
        <v>3689</v>
      </c>
      <c r="P532" s="2" t="s">
        <v>37</v>
      </c>
      <c r="R532" s="2" t="s">
        <v>4952</v>
      </c>
      <c r="T532" s="2" t="s">
        <v>76</v>
      </c>
      <c r="X532" s="2" t="n">
        <v>10300</v>
      </c>
      <c r="Y532" s="2" t="s">
        <v>678</v>
      </c>
      <c r="Z532" s="3" t="s">
        <v>4953</v>
      </c>
    </row>
    <row r="533" customFormat="false" ht="13.8" hidden="false" customHeight="false" outlineLevel="0" collapsed="false">
      <c r="A533" s="0" t="str">
        <f aca="false">CONCATENATE("__import__.res_partner_",C533)</f>
        <v>__import__.res_partner_20000010301</v>
      </c>
      <c r="B533" s="2" t="s">
        <v>4954</v>
      </c>
      <c r="C533" s="3" t="s">
        <v>4955</v>
      </c>
      <c r="D533" s="2" t="s">
        <v>4956</v>
      </c>
      <c r="F533" s="2" t="s">
        <v>30</v>
      </c>
      <c r="G533" s="2" t="s">
        <v>31</v>
      </c>
      <c r="H533" s="2" t="s">
        <v>32</v>
      </c>
      <c r="K533" s="2" t="s">
        <v>4957</v>
      </c>
      <c r="L533" s="3" t="s">
        <v>3456</v>
      </c>
      <c r="M533" s="2" t="s">
        <v>4958</v>
      </c>
      <c r="O533" s="2" t="s">
        <v>1206</v>
      </c>
      <c r="P533" s="2" t="s">
        <v>37</v>
      </c>
      <c r="Q533" s="2" t="s">
        <v>4959</v>
      </c>
      <c r="R533" s="2" t="s">
        <v>4960</v>
      </c>
      <c r="T533" s="2" t="s">
        <v>76</v>
      </c>
      <c r="X533" s="2" t="n">
        <v>10301</v>
      </c>
      <c r="Y533" s="2" t="s">
        <v>4961</v>
      </c>
      <c r="Z533" s="3" t="s">
        <v>4962</v>
      </c>
    </row>
    <row r="534" customFormat="false" ht="13.8" hidden="false" customHeight="false" outlineLevel="0" collapsed="false">
      <c r="A534" s="0" t="str">
        <f aca="false">CONCATENATE("__import__.res_partner_",C534)</f>
        <v>__import__.res_partner_20000010302</v>
      </c>
      <c r="B534" s="2" t="s">
        <v>4963</v>
      </c>
      <c r="C534" s="3" t="s">
        <v>4964</v>
      </c>
      <c r="D534" s="2" t="s">
        <v>4965</v>
      </c>
      <c r="F534" s="2" t="s">
        <v>30</v>
      </c>
      <c r="G534" s="2" t="s">
        <v>31</v>
      </c>
      <c r="H534" s="2" t="s">
        <v>32</v>
      </c>
      <c r="K534" s="2" t="s">
        <v>4966</v>
      </c>
      <c r="L534" s="3" t="s">
        <v>2890</v>
      </c>
      <c r="M534" s="2" t="s">
        <v>4967</v>
      </c>
      <c r="O534" s="2" t="s">
        <v>2754</v>
      </c>
      <c r="P534" s="2" t="s">
        <v>37</v>
      </c>
      <c r="R534" s="2" t="s">
        <v>4968</v>
      </c>
      <c r="T534" s="2" t="s">
        <v>76</v>
      </c>
      <c r="X534" s="2" t="n">
        <v>10302</v>
      </c>
      <c r="Y534" s="2" t="s">
        <v>4969</v>
      </c>
      <c r="Z534" s="3" t="s">
        <v>4970</v>
      </c>
    </row>
    <row r="535" customFormat="false" ht="13.8" hidden="false" customHeight="false" outlineLevel="0" collapsed="false">
      <c r="A535" s="0" t="str">
        <f aca="false">CONCATENATE("__import__.res_partner_",C535)</f>
        <v>__import__.res_partner_20000010303</v>
      </c>
      <c r="B535" s="2" t="s">
        <v>4971</v>
      </c>
      <c r="C535" s="3" t="s">
        <v>4972</v>
      </c>
      <c r="D535" s="2" t="s">
        <v>4973</v>
      </c>
      <c r="F535" s="2" t="s">
        <v>30</v>
      </c>
      <c r="G535" s="2" t="s">
        <v>31</v>
      </c>
      <c r="H535" s="2" t="s">
        <v>32</v>
      </c>
      <c r="K535" s="2" t="s">
        <v>4974</v>
      </c>
      <c r="L535" s="3" t="s">
        <v>4975</v>
      </c>
      <c r="M535" s="2" t="s">
        <v>4976</v>
      </c>
      <c r="O535" s="2" t="s">
        <v>2801</v>
      </c>
      <c r="P535" s="2" t="s">
        <v>37</v>
      </c>
      <c r="R535" s="2" t="s">
        <v>4977</v>
      </c>
      <c r="T535" s="2" t="s">
        <v>76</v>
      </c>
      <c r="X535" s="2" t="n">
        <v>10303</v>
      </c>
      <c r="Y535" s="2" t="s">
        <v>4978</v>
      </c>
      <c r="Z535" s="3" t="s">
        <v>4979</v>
      </c>
    </row>
    <row r="536" customFormat="false" ht="13.8" hidden="false" customHeight="false" outlineLevel="0" collapsed="false">
      <c r="A536" s="0" t="str">
        <f aca="false">CONCATENATE("__import__.res_partner_",C536)</f>
        <v>__import__.res_partner_20000010304</v>
      </c>
      <c r="B536" s="2" t="s">
        <v>4980</v>
      </c>
      <c r="C536" s="3" t="s">
        <v>4981</v>
      </c>
      <c r="D536" s="2" t="s">
        <v>4982</v>
      </c>
      <c r="F536" s="2" t="s">
        <v>30</v>
      </c>
      <c r="G536" s="2" t="s">
        <v>31</v>
      </c>
      <c r="H536" s="2" t="s">
        <v>32</v>
      </c>
      <c r="K536" s="2" t="s">
        <v>4983</v>
      </c>
      <c r="L536" s="3" t="s">
        <v>4984</v>
      </c>
      <c r="M536" s="2" t="s">
        <v>4985</v>
      </c>
      <c r="O536" s="2" t="s">
        <v>2709</v>
      </c>
      <c r="P536" s="2" t="s">
        <v>37</v>
      </c>
      <c r="T536" s="2" t="s">
        <v>76</v>
      </c>
      <c r="X536" s="2" t="n">
        <v>10304</v>
      </c>
      <c r="Y536" s="2" t="s">
        <v>4986</v>
      </c>
      <c r="Z536" s="3" t="s">
        <v>4987</v>
      </c>
    </row>
    <row r="537" customFormat="false" ht="13.8" hidden="false" customHeight="false" outlineLevel="0" collapsed="false">
      <c r="A537" s="0" t="str">
        <f aca="false">CONCATENATE("__import__.res_partner_",C537)</f>
        <v>__import__.res_partner_20000010305</v>
      </c>
      <c r="B537" s="2" t="s">
        <v>4988</v>
      </c>
      <c r="C537" s="3" t="s">
        <v>4989</v>
      </c>
      <c r="D537" s="2" t="s">
        <v>4990</v>
      </c>
      <c r="F537" s="2" t="s">
        <v>30</v>
      </c>
      <c r="G537" s="2" t="s">
        <v>1664</v>
      </c>
      <c r="H537" s="2" t="s">
        <v>32</v>
      </c>
      <c r="K537" s="2" t="s">
        <v>4991</v>
      </c>
      <c r="L537" s="3" t="s">
        <v>4992</v>
      </c>
      <c r="M537" s="2" t="s">
        <v>4993</v>
      </c>
      <c r="O537" s="2" t="s">
        <v>4994</v>
      </c>
      <c r="P537" s="2" t="s">
        <v>37</v>
      </c>
      <c r="R537" s="2" t="s">
        <v>4995</v>
      </c>
      <c r="T537" s="2" t="s">
        <v>97</v>
      </c>
      <c r="X537" s="2" t="n">
        <v>10305</v>
      </c>
      <c r="Z537" s="3" t="s">
        <v>4996</v>
      </c>
    </row>
    <row r="538" customFormat="false" ht="13.8" hidden="false" customHeight="false" outlineLevel="0" collapsed="false">
      <c r="A538" s="0" t="str">
        <f aca="false">CONCATENATE("__import__.res_partner_",C538)</f>
        <v>__import__.res_partner_20000010306</v>
      </c>
      <c r="B538" s="2" t="s">
        <v>4997</v>
      </c>
      <c r="C538" s="3" t="s">
        <v>4998</v>
      </c>
      <c r="D538" s="2" t="s">
        <v>4999</v>
      </c>
      <c r="F538" s="2" t="s">
        <v>30</v>
      </c>
      <c r="G538" s="2" t="s">
        <v>1664</v>
      </c>
      <c r="H538" s="2" t="s">
        <v>32</v>
      </c>
      <c r="K538" s="2" t="s">
        <v>5000</v>
      </c>
      <c r="L538" s="3" t="s">
        <v>2868</v>
      </c>
      <c r="M538" s="2" t="s">
        <v>5001</v>
      </c>
      <c r="O538" s="2" t="s">
        <v>2754</v>
      </c>
      <c r="P538" s="2" t="s">
        <v>37</v>
      </c>
      <c r="T538" s="2" t="s">
        <v>97</v>
      </c>
      <c r="X538" s="2" t="n">
        <v>10306</v>
      </c>
      <c r="Y538" s="2" t="s">
        <v>678</v>
      </c>
      <c r="Z538" s="3" t="s">
        <v>5002</v>
      </c>
    </row>
    <row r="539" customFormat="false" ht="13.8" hidden="false" customHeight="false" outlineLevel="0" collapsed="false">
      <c r="A539" s="0" t="str">
        <f aca="false">CONCATENATE("__import__.res_partner_",C539)</f>
        <v>__import__.res_partner_20000010307</v>
      </c>
      <c r="B539" s="2" t="s">
        <v>5003</v>
      </c>
      <c r="C539" s="3" t="s">
        <v>5004</v>
      </c>
      <c r="D539" s="2" t="s">
        <v>5005</v>
      </c>
      <c r="F539" s="2" t="s">
        <v>30</v>
      </c>
      <c r="G539" s="2" t="s">
        <v>1664</v>
      </c>
      <c r="H539" s="2" t="s">
        <v>32</v>
      </c>
      <c r="K539" s="2" t="s">
        <v>5006</v>
      </c>
      <c r="L539" s="3" t="s">
        <v>3861</v>
      </c>
      <c r="M539" s="2" t="s">
        <v>5007</v>
      </c>
      <c r="O539" s="2" t="s">
        <v>2754</v>
      </c>
      <c r="P539" s="2" t="s">
        <v>37</v>
      </c>
      <c r="R539" s="2" t="s">
        <v>5008</v>
      </c>
      <c r="T539" s="2" t="s">
        <v>97</v>
      </c>
      <c r="X539" s="2" t="n">
        <v>10307</v>
      </c>
      <c r="Z539" s="3" t="s">
        <v>5009</v>
      </c>
    </row>
    <row r="540" customFormat="false" ht="13.8" hidden="false" customHeight="false" outlineLevel="0" collapsed="false">
      <c r="A540" s="0" t="str">
        <f aca="false">CONCATENATE("__import__.res_partner_",C540)</f>
        <v>__import__.res_partner_20000010308</v>
      </c>
      <c r="B540" s="2" t="s">
        <v>5010</v>
      </c>
      <c r="C540" s="3" t="s">
        <v>5011</v>
      </c>
      <c r="D540" s="2" t="s">
        <v>5012</v>
      </c>
      <c r="F540" s="3" t="s">
        <v>557</v>
      </c>
      <c r="G540" s="2" t="s">
        <v>31</v>
      </c>
      <c r="H540" s="2" t="s">
        <v>32</v>
      </c>
      <c r="K540" s="2" t="s">
        <v>5013</v>
      </c>
      <c r="L540" s="3" t="s">
        <v>4788</v>
      </c>
      <c r="M540" s="2" t="s">
        <v>5014</v>
      </c>
      <c r="O540" s="2" t="s">
        <v>4160</v>
      </c>
      <c r="P540" s="2" t="s">
        <v>37</v>
      </c>
      <c r="R540" s="2" t="s">
        <v>5015</v>
      </c>
      <c r="T540" s="2" t="s">
        <v>76</v>
      </c>
      <c r="X540" s="2" t="n">
        <v>10308</v>
      </c>
      <c r="Y540" s="2" t="s">
        <v>5016</v>
      </c>
      <c r="Z540" s="3" t="s">
        <v>5017</v>
      </c>
    </row>
    <row r="541" customFormat="false" ht="13.8" hidden="false" customHeight="false" outlineLevel="0" collapsed="false">
      <c r="A541" s="0" t="str">
        <f aca="false">CONCATENATE("__import__.res_partner_",C541)</f>
        <v>__import__.res_partner_20000010309</v>
      </c>
      <c r="B541" s="2" t="s">
        <v>5018</v>
      </c>
      <c r="C541" s="3" t="s">
        <v>5019</v>
      </c>
      <c r="D541" s="2" t="s">
        <v>5020</v>
      </c>
      <c r="F541" s="2" t="s">
        <v>30</v>
      </c>
      <c r="G541" s="2" t="s">
        <v>31</v>
      </c>
      <c r="H541" s="2" t="s">
        <v>32</v>
      </c>
      <c r="K541" s="2" t="s">
        <v>5021</v>
      </c>
      <c r="L541" s="3" t="s">
        <v>4000</v>
      </c>
      <c r="M541" s="2" t="s">
        <v>5022</v>
      </c>
      <c r="N541" s="2" t="s">
        <v>5023</v>
      </c>
      <c r="O541" s="2" t="s">
        <v>4002</v>
      </c>
      <c r="P541" s="2" t="s">
        <v>37</v>
      </c>
      <c r="Q541" s="2" t="s">
        <v>5024</v>
      </c>
      <c r="R541" s="2" t="s">
        <v>5025</v>
      </c>
      <c r="T541" s="2" t="s">
        <v>697</v>
      </c>
      <c r="X541" s="2" t="n">
        <v>10309</v>
      </c>
      <c r="Y541" s="2" t="s">
        <v>5026</v>
      </c>
      <c r="Z541" s="3" t="s">
        <v>5027</v>
      </c>
    </row>
    <row r="542" customFormat="false" ht="13.8" hidden="false" customHeight="false" outlineLevel="0" collapsed="false">
      <c r="A542" s="0" t="str">
        <f aca="false">CONCATENATE("__import__.res_partner_",C542)</f>
        <v>__import__.res_partner_20000010310</v>
      </c>
      <c r="B542" s="2" t="s">
        <v>5028</v>
      </c>
      <c r="C542" s="3" t="s">
        <v>5029</v>
      </c>
      <c r="D542" s="2" t="s">
        <v>5030</v>
      </c>
      <c r="F542" s="3" t="s">
        <v>557</v>
      </c>
      <c r="G542" s="2" t="s">
        <v>31</v>
      </c>
      <c r="H542" s="2" t="s">
        <v>32</v>
      </c>
      <c r="K542" s="2" t="s">
        <v>5031</v>
      </c>
      <c r="L542" s="3" t="s">
        <v>5032</v>
      </c>
      <c r="M542" s="2" t="s">
        <v>5033</v>
      </c>
      <c r="O542" s="2" t="s">
        <v>5034</v>
      </c>
      <c r="P542" s="2" t="s">
        <v>37</v>
      </c>
      <c r="R542" s="3" t="s">
        <v>5035</v>
      </c>
      <c r="T542" s="2" t="s">
        <v>697</v>
      </c>
      <c r="V542" s="2" t="s">
        <v>1419</v>
      </c>
      <c r="X542" s="2" t="n">
        <v>10310</v>
      </c>
      <c r="Y542" s="2" t="s">
        <v>678</v>
      </c>
      <c r="Z542" s="3" t="s">
        <v>5036</v>
      </c>
    </row>
    <row r="543" customFormat="false" ht="13.8" hidden="false" customHeight="false" outlineLevel="0" collapsed="false">
      <c r="A543" s="0" t="str">
        <f aca="false">CONCATENATE("__import__.res_partner_",C543)</f>
        <v>__import__.res_partner_20000010311</v>
      </c>
      <c r="B543" s="2" t="s">
        <v>5037</v>
      </c>
      <c r="C543" s="3" t="s">
        <v>5038</v>
      </c>
      <c r="D543" s="2" t="s">
        <v>5039</v>
      </c>
      <c r="F543" s="2" t="s">
        <v>30</v>
      </c>
      <c r="G543" s="2" t="s">
        <v>31</v>
      </c>
      <c r="H543" s="2" t="s">
        <v>32</v>
      </c>
      <c r="K543" s="2" t="s">
        <v>5040</v>
      </c>
      <c r="L543" s="3" t="s">
        <v>4000</v>
      </c>
      <c r="M543" s="2" t="s">
        <v>5041</v>
      </c>
      <c r="O543" s="2" t="s">
        <v>4002</v>
      </c>
      <c r="P543" s="2" t="s">
        <v>37</v>
      </c>
      <c r="R543" s="3" t="s">
        <v>5042</v>
      </c>
      <c r="T543" s="2" t="s">
        <v>697</v>
      </c>
      <c r="V543" s="2" t="s">
        <v>3692</v>
      </c>
      <c r="X543" s="2" t="n">
        <v>10311</v>
      </c>
      <c r="Y543" s="2" t="s">
        <v>678</v>
      </c>
      <c r="Z543" s="3" t="s">
        <v>5043</v>
      </c>
    </row>
    <row r="544" customFormat="false" ht="13.8" hidden="false" customHeight="false" outlineLevel="0" collapsed="false">
      <c r="A544" s="0" t="str">
        <f aca="false">CONCATENATE("__import__.res_partner_",C544)</f>
        <v>__import__.res_partner_20000010312</v>
      </c>
      <c r="B544" s="2" t="s">
        <v>5044</v>
      </c>
      <c r="C544" s="3" t="s">
        <v>5045</v>
      </c>
      <c r="D544" s="2" t="s">
        <v>5046</v>
      </c>
      <c r="F544" s="2" t="s">
        <v>30</v>
      </c>
      <c r="G544" s="2" t="s">
        <v>1664</v>
      </c>
      <c r="H544" s="2" t="s">
        <v>32</v>
      </c>
      <c r="K544" s="2" t="s">
        <v>5047</v>
      </c>
      <c r="L544" s="3" t="s">
        <v>480</v>
      </c>
      <c r="M544" s="2" t="s">
        <v>5048</v>
      </c>
      <c r="O544" s="2" t="s">
        <v>49</v>
      </c>
      <c r="P544" s="2" t="s">
        <v>37</v>
      </c>
      <c r="T544" s="2" t="s">
        <v>76</v>
      </c>
      <c r="X544" s="2" t="n">
        <v>10312</v>
      </c>
      <c r="Y544" s="2" t="s">
        <v>678</v>
      </c>
      <c r="Z544" s="3" t="s">
        <v>5049</v>
      </c>
    </row>
    <row r="545" customFormat="false" ht="13.8" hidden="false" customHeight="false" outlineLevel="0" collapsed="false">
      <c r="A545" s="0" t="str">
        <f aca="false">CONCATENATE("__import__.res_partner_",C545)</f>
        <v>__import__.res_partner_20000010313</v>
      </c>
      <c r="B545" s="2" t="s">
        <v>5050</v>
      </c>
      <c r="C545" s="3" t="s">
        <v>5051</v>
      </c>
      <c r="D545" s="2" t="s">
        <v>5052</v>
      </c>
      <c r="F545" s="2" t="s">
        <v>30</v>
      </c>
      <c r="G545" s="2" t="s">
        <v>1664</v>
      </c>
      <c r="H545" s="2" t="s">
        <v>32</v>
      </c>
      <c r="K545" s="2" t="s">
        <v>5053</v>
      </c>
      <c r="L545" s="3" t="s">
        <v>5054</v>
      </c>
      <c r="M545" s="2" t="s">
        <v>5055</v>
      </c>
      <c r="O545" s="2" t="s">
        <v>5056</v>
      </c>
      <c r="P545" s="2" t="s">
        <v>37</v>
      </c>
      <c r="T545" s="2" t="s">
        <v>97</v>
      </c>
      <c r="X545" s="2" t="n">
        <v>10313</v>
      </c>
      <c r="Y545" s="2" t="s">
        <v>678</v>
      </c>
      <c r="Z545" s="3" t="s">
        <v>5057</v>
      </c>
    </row>
    <row r="546" customFormat="false" ht="13.8" hidden="false" customHeight="false" outlineLevel="0" collapsed="false">
      <c r="A546" s="0" t="str">
        <f aca="false">CONCATENATE("__import__.res_partner_",C546)</f>
        <v>__import__.res_partner_20000010314</v>
      </c>
      <c r="B546" s="2" t="s">
        <v>5058</v>
      </c>
      <c r="C546" s="3" t="s">
        <v>5059</v>
      </c>
      <c r="D546" s="2" t="s">
        <v>5060</v>
      </c>
      <c r="F546" s="2" t="s">
        <v>30</v>
      </c>
      <c r="G546" s="2" t="s">
        <v>31</v>
      </c>
      <c r="H546" s="2" t="s">
        <v>32</v>
      </c>
      <c r="K546" s="2" t="s">
        <v>5061</v>
      </c>
      <c r="L546" s="3" t="s">
        <v>470</v>
      </c>
      <c r="M546" s="2" t="s">
        <v>5062</v>
      </c>
      <c r="O546" s="2" t="s">
        <v>472</v>
      </c>
      <c r="P546" s="2" t="s">
        <v>37</v>
      </c>
      <c r="T546" s="2" t="s">
        <v>97</v>
      </c>
      <c r="X546" s="2" t="n">
        <v>10314</v>
      </c>
      <c r="Y546" s="2" t="s">
        <v>678</v>
      </c>
      <c r="Z546" s="3" t="s">
        <v>5063</v>
      </c>
    </row>
    <row r="547" customFormat="false" ht="13.8" hidden="false" customHeight="false" outlineLevel="0" collapsed="false">
      <c r="A547" s="0" t="str">
        <f aca="false">CONCATENATE("__import__.res_partner_",C547)</f>
        <v>__import__.res_partner_20000010316</v>
      </c>
      <c r="B547" s="2" t="s">
        <v>5064</v>
      </c>
      <c r="C547" s="3" t="s">
        <v>5065</v>
      </c>
      <c r="D547" s="2" t="s">
        <v>5066</v>
      </c>
      <c r="F547" s="2" t="s">
        <v>30</v>
      </c>
      <c r="G547" s="2" t="s">
        <v>1664</v>
      </c>
      <c r="H547" s="2" t="s">
        <v>32</v>
      </c>
      <c r="K547" s="2" t="s">
        <v>5067</v>
      </c>
      <c r="L547" s="3" t="s">
        <v>4788</v>
      </c>
      <c r="M547" s="2" t="s">
        <v>5068</v>
      </c>
      <c r="O547" s="2" t="s">
        <v>4160</v>
      </c>
      <c r="P547" s="2" t="s">
        <v>37</v>
      </c>
      <c r="R547" s="3" t="s">
        <v>5069</v>
      </c>
      <c r="T547" s="2" t="s">
        <v>108</v>
      </c>
      <c r="X547" s="2" t="n">
        <v>10316</v>
      </c>
      <c r="Y547" s="2" t="s">
        <v>678</v>
      </c>
      <c r="Z547" s="3" t="s">
        <v>5070</v>
      </c>
    </row>
    <row r="548" customFormat="false" ht="13.8" hidden="false" customHeight="false" outlineLevel="0" collapsed="false">
      <c r="A548" s="0" t="str">
        <f aca="false">CONCATENATE("__import__.res_partner_",C548)</f>
        <v>__import__.res_partner_20000010317</v>
      </c>
      <c r="B548" s="2" t="s">
        <v>5071</v>
      </c>
      <c r="C548" s="3" t="s">
        <v>5072</v>
      </c>
      <c r="D548" s="2" t="s">
        <v>5073</v>
      </c>
      <c r="F548" s="3" t="s">
        <v>557</v>
      </c>
      <c r="G548" s="2" t="s">
        <v>1664</v>
      </c>
      <c r="H548" s="2" t="s">
        <v>32</v>
      </c>
      <c r="K548" s="2" t="s">
        <v>5074</v>
      </c>
      <c r="L548" s="3" t="s">
        <v>4000</v>
      </c>
      <c r="M548" s="2" t="s">
        <v>5075</v>
      </c>
      <c r="O548" s="2" t="s">
        <v>5076</v>
      </c>
      <c r="P548" s="2" t="s">
        <v>37</v>
      </c>
      <c r="T548" s="2" t="s">
        <v>697</v>
      </c>
      <c r="V548" s="2" t="s">
        <v>4791</v>
      </c>
      <c r="X548" s="2" t="n">
        <v>10317</v>
      </c>
      <c r="Y548" s="2" t="s">
        <v>678</v>
      </c>
      <c r="Z548" s="3" t="s">
        <v>5077</v>
      </c>
    </row>
    <row r="549" customFormat="false" ht="13.8" hidden="false" customHeight="false" outlineLevel="0" collapsed="false">
      <c r="A549" s="0" t="str">
        <f aca="false">CONCATENATE("__import__.res_partner_",C549)</f>
        <v>__import__.res_partner_20000010318</v>
      </c>
      <c r="B549" s="2" t="s">
        <v>5078</v>
      </c>
      <c r="C549" s="3" t="s">
        <v>5079</v>
      </c>
      <c r="D549" s="2" t="s">
        <v>5080</v>
      </c>
      <c r="F549" s="2" t="s">
        <v>30</v>
      </c>
      <c r="G549" s="2" t="s">
        <v>1664</v>
      </c>
      <c r="H549" s="2" t="s">
        <v>32</v>
      </c>
      <c r="K549" s="2" t="s">
        <v>5081</v>
      </c>
      <c r="L549" s="3" t="s">
        <v>3343</v>
      </c>
      <c r="M549" s="2" t="s">
        <v>5082</v>
      </c>
      <c r="O549" s="2" t="s">
        <v>2754</v>
      </c>
      <c r="P549" s="2" t="s">
        <v>37</v>
      </c>
      <c r="R549" s="3" t="s">
        <v>5083</v>
      </c>
      <c r="T549" s="2" t="s">
        <v>76</v>
      </c>
      <c r="V549" s="2" t="s">
        <v>3692</v>
      </c>
      <c r="X549" s="2" t="n">
        <v>10318</v>
      </c>
      <c r="Y549" s="2" t="s">
        <v>678</v>
      </c>
      <c r="Z549" s="3" t="s">
        <v>5084</v>
      </c>
    </row>
    <row r="550" customFormat="false" ht="13.8" hidden="false" customHeight="false" outlineLevel="0" collapsed="false">
      <c r="A550" s="0" t="str">
        <f aca="false">CONCATENATE("__import__.res_partner_",C550)</f>
        <v>__import__.res_partner_20000010319</v>
      </c>
      <c r="B550" s="2" t="s">
        <v>5085</v>
      </c>
      <c r="C550" s="3" t="s">
        <v>5086</v>
      </c>
      <c r="D550" s="2" t="s">
        <v>5087</v>
      </c>
      <c r="F550" s="2" t="s">
        <v>30</v>
      </c>
      <c r="G550" s="2" t="s">
        <v>31</v>
      </c>
      <c r="H550" s="2" t="s">
        <v>32</v>
      </c>
      <c r="K550" s="2" t="s">
        <v>5088</v>
      </c>
      <c r="L550" s="2" t="s">
        <v>5089</v>
      </c>
      <c r="M550" s="2" t="s">
        <v>5090</v>
      </c>
      <c r="O550" s="2" t="s">
        <v>5091</v>
      </c>
      <c r="P550" s="2" t="s">
        <v>675</v>
      </c>
      <c r="Q550" s="2" t="s">
        <v>5092</v>
      </c>
      <c r="T550" s="2" t="s">
        <v>4741</v>
      </c>
      <c r="X550" s="2" t="n">
        <v>10319</v>
      </c>
      <c r="Y550" s="2" t="s">
        <v>5093</v>
      </c>
      <c r="Z550" s="3" t="s">
        <v>5094</v>
      </c>
    </row>
    <row r="551" customFormat="false" ht="13.8" hidden="false" customHeight="false" outlineLevel="0" collapsed="false">
      <c r="A551" s="0" t="str">
        <f aca="false">CONCATENATE("__import__.res_partner_",C551)</f>
        <v>__import__.res_partner_20000010320</v>
      </c>
      <c r="B551" s="2" t="s">
        <v>5095</v>
      </c>
      <c r="C551" s="3" t="s">
        <v>5096</v>
      </c>
      <c r="D551" s="2" t="s">
        <v>5097</v>
      </c>
      <c r="F551" s="2" t="s">
        <v>30</v>
      </c>
      <c r="G551" s="2" t="s">
        <v>31</v>
      </c>
      <c r="H551" s="2" t="s">
        <v>32</v>
      </c>
      <c r="K551" s="2" t="s">
        <v>5098</v>
      </c>
      <c r="L551" s="3" t="s">
        <v>539</v>
      </c>
      <c r="M551" s="2" t="s">
        <v>5099</v>
      </c>
      <c r="O551" s="2" t="s">
        <v>5100</v>
      </c>
      <c r="P551" s="2" t="s">
        <v>37</v>
      </c>
      <c r="Q551" s="2" t="s">
        <v>5101</v>
      </c>
      <c r="R551" s="2" t="s">
        <v>5102</v>
      </c>
      <c r="T551" s="2" t="s">
        <v>697</v>
      </c>
      <c r="X551" s="2" t="n">
        <v>10320</v>
      </c>
      <c r="Y551" s="2" t="s">
        <v>5103</v>
      </c>
      <c r="Z551" s="3" t="s">
        <v>5104</v>
      </c>
    </row>
    <row r="552" customFormat="false" ht="13.8" hidden="false" customHeight="false" outlineLevel="0" collapsed="false">
      <c r="A552" s="0" t="str">
        <f aca="false">CONCATENATE("__import__.res_partner_",C552)</f>
        <v>__import__.res_partner_20000010321</v>
      </c>
      <c r="B552" s="2" t="s">
        <v>5105</v>
      </c>
      <c r="C552" s="3" t="s">
        <v>5106</v>
      </c>
      <c r="D552" s="2" t="s">
        <v>5107</v>
      </c>
      <c r="F552" s="2" t="s">
        <v>30</v>
      </c>
      <c r="G552" s="2" t="s">
        <v>1664</v>
      </c>
      <c r="H552" s="2" t="s">
        <v>32</v>
      </c>
      <c r="K552" s="2" t="s">
        <v>5108</v>
      </c>
      <c r="L552" s="3" t="s">
        <v>345</v>
      </c>
      <c r="M552" s="2" t="s">
        <v>5109</v>
      </c>
      <c r="O552" s="2" t="s">
        <v>347</v>
      </c>
      <c r="P552" s="2" t="s">
        <v>37</v>
      </c>
      <c r="R552" s="3" t="s">
        <v>5110</v>
      </c>
      <c r="T552" s="2" t="s">
        <v>76</v>
      </c>
      <c r="X552" s="2" t="n">
        <v>10321</v>
      </c>
      <c r="Y552" s="2" t="s">
        <v>678</v>
      </c>
      <c r="Z552" s="3" t="s">
        <v>5111</v>
      </c>
    </row>
    <row r="553" customFormat="false" ht="135.8" hidden="false" customHeight="false" outlineLevel="0" collapsed="false">
      <c r="A553" s="0" t="str">
        <f aca="false">CONCATENATE("__import__.res_partner_",C553)</f>
        <v>__import__.res_partner_20000010322</v>
      </c>
      <c r="B553" s="2" t="s">
        <v>5112</v>
      </c>
      <c r="C553" s="3" t="s">
        <v>5113</v>
      </c>
      <c r="D553" s="2" t="s">
        <v>5114</v>
      </c>
      <c r="F553" s="2" t="s">
        <v>30</v>
      </c>
      <c r="G553" s="2" t="s">
        <v>31</v>
      </c>
      <c r="H553" s="2" t="s">
        <v>32</v>
      </c>
      <c r="K553" s="2" t="s">
        <v>5115</v>
      </c>
      <c r="L553" s="3" t="s">
        <v>3975</v>
      </c>
      <c r="M553" s="2" t="s">
        <v>5116</v>
      </c>
      <c r="O553" s="2" t="s">
        <v>5117</v>
      </c>
      <c r="P553" s="2" t="s">
        <v>37</v>
      </c>
      <c r="Q553" s="2" t="s">
        <v>5118</v>
      </c>
      <c r="R553" s="3" t="s">
        <v>5119</v>
      </c>
      <c r="T553" s="2" t="s">
        <v>40</v>
      </c>
      <c r="X553" s="2" t="n">
        <v>10322</v>
      </c>
      <c r="Y553" s="2" t="s">
        <v>678</v>
      </c>
      <c r="Z553" s="3" t="s">
        <v>5120</v>
      </c>
      <c r="AA553" s="4" t="s">
        <v>5121</v>
      </c>
    </row>
    <row r="554" customFormat="false" ht="13.8" hidden="false" customHeight="false" outlineLevel="0" collapsed="false">
      <c r="A554" s="0" t="str">
        <f aca="false">CONCATENATE("__import__.res_partner_",C554)</f>
        <v>__import__.res_partner_20000010323</v>
      </c>
      <c r="B554" s="2" t="s">
        <v>5122</v>
      </c>
      <c r="C554" s="3" t="s">
        <v>5123</v>
      </c>
      <c r="D554" s="2" t="s">
        <v>5124</v>
      </c>
      <c r="F554" s="2" t="s">
        <v>30</v>
      </c>
      <c r="G554" s="2" t="s">
        <v>1664</v>
      </c>
      <c r="H554" s="2" t="s">
        <v>32</v>
      </c>
      <c r="K554" s="2" t="s">
        <v>5125</v>
      </c>
      <c r="L554" s="3" t="s">
        <v>5126</v>
      </c>
      <c r="M554" s="2" t="s">
        <v>5127</v>
      </c>
      <c r="O554" s="2" t="s">
        <v>4002</v>
      </c>
      <c r="P554" s="2" t="s">
        <v>37</v>
      </c>
      <c r="R554" s="3" t="s">
        <v>5128</v>
      </c>
      <c r="T554" s="2" t="s">
        <v>697</v>
      </c>
      <c r="X554" s="2" t="n">
        <v>10323</v>
      </c>
      <c r="Y554" s="2" t="s">
        <v>678</v>
      </c>
      <c r="Z554" s="3" t="s">
        <v>5129</v>
      </c>
    </row>
    <row r="555" customFormat="false" ht="13.8" hidden="false" customHeight="false" outlineLevel="0" collapsed="false">
      <c r="A555" s="0" t="str">
        <f aca="false">CONCATENATE("__import__.res_partner_",C555)</f>
        <v>__import__.res_partner_20000010324</v>
      </c>
      <c r="B555" s="2" t="s">
        <v>5130</v>
      </c>
      <c r="C555" s="3" t="s">
        <v>5131</v>
      </c>
      <c r="D555" s="2" t="s">
        <v>5132</v>
      </c>
      <c r="F555" s="2" t="s">
        <v>30</v>
      </c>
      <c r="G555" s="2" t="s">
        <v>31</v>
      </c>
      <c r="H555" s="2" t="s">
        <v>32</v>
      </c>
      <c r="K555" s="2" t="s">
        <v>5133</v>
      </c>
      <c r="L555" s="3" t="s">
        <v>5134</v>
      </c>
      <c r="M555" s="2" t="s">
        <v>5135</v>
      </c>
      <c r="O555" s="2" t="s">
        <v>49</v>
      </c>
      <c r="P555" s="2" t="s">
        <v>37</v>
      </c>
      <c r="T555" s="2" t="s">
        <v>76</v>
      </c>
      <c r="X555" s="2" t="n">
        <v>10324</v>
      </c>
      <c r="Y555" s="2" t="s">
        <v>678</v>
      </c>
      <c r="Z555" s="3" t="s">
        <v>5136</v>
      </c>
    </row>
    <row r="556" customFormat="false" ht="61.15" hidden="false" customHeight="false" outlineLevel="0" collapsed="false">
      <c r="A556" s="0" t="str">
        <f aca="false">CONCATENATE("__import__.res_partner_",C556)</f>
        <v>__import__.res_partner_20000010325</v>
      </c>
      <c r="B556" s="2" t="s">
        <v>5137</v>
      </c>
      <c r="C556" s="3" t="s">
        <v>5138</v>
      </c>
      <c r="D556" s="2" t="s">
        <v>5139</v>
      </c>
      <c r="F556" s="2" t="s">
        <v>30</v>
      </c>
      <c r="G556" s="2" t="s">
        <v>31</v>
      </c>
      <c r="H556" s="2" t="s">
        <v>32</v>
      </c>
      <c r="K556" s="2" t="s">
        <v>5140</v>
      </c>
      <c r="L556" s="3" t="s">
        <v>5141</v>
      </c>
      <c r="M556" s="2" t="s">
        <v>5142</v>
      </c>
      <c r="O556" s="2" t="s">
        <v>106</v>
      </c>
      <c r="P556" s="2" t="s">
        <v>37</v>
      </c>
      <c r="Q556" s="2" t="s">
        <v>5143</v>
      </c>
      <c r="R556" s="2" t="s">
        <v>5144</v>
      </c>
      <c r="T556" s="2" t="s">
        <v>697</v>
      </c>
      <c r="X556" s="2" t="n">
        <v>10325</v>
      </c>
      <c r="Y556" s="2" t="s">
        <v>5145</v>
      </c>
      <c r="Z556" s="3" t="s">
        <v>5146</v>
      </c>
      <c r="AA556" s="4" t="s">
        <v>5147</v>
      </c>
    </row>
    <row r="557" customFormat="false" ht="27.75" hidden="false" customHeight="false" outlineLevel="0" collapsed="false">
      <c r="A557" s="0" t="str">
        <f aca="false">CONCATENATE("__import__.res_partner_",C557)</f>
        <v>__import__.res_partner_20000010327</v>
      </c>
      <c r="B557" s="2" t="s">
        <v>5148</v>
      </c>
      <c r="C557" s="3" t="s">
        <v>5149</v>
      </c>
      <c r="D557" s="2" t="s">
        <v>5150</v>
      </c>
      <c r="F557" s="2" t="s">
        <v>30</v>
      </c>
      <c r="G557" s="2" t="s">
        <v>31</v>
      </c>
      <c r="H557" s="2" t="s">
        <v>32</v>
      </c>
      <c r="K557" s="2" t="s">
        <v>5151</v>
      </c>
      <c r="L557" s="3" t="s">
        <v>345</v>
      </c>
      <c r="M557" s="2" t="s">
        <v>5152</v>
      </c>
      <c r="N557" s="2" t="s">
        <v>5153</v>
      </c>
      <c r="O557" s="2" t="s">
        <v>347</v>
      </c>
      <c r="P557" s="2" t="s">
        <v>37</v>
      </c>
      <c r="R557" s="3" t="s">
        <v>5154</v>
      </c>
      <c r="T557" s="2" t="s">
        <v>97</v>
      </c>
      <c r="X557" s="2" t="n">
        <v>10327</v>
      </c>
      <c r="Y557" s="2" t="s">
        <v>678</v>
      </c>
      <c r="Z557" s="3" t="s">
        <v>5155</v>
      </c>
      <c r="AA557" s="4" t="s">
        <v>5156</v>
      </c>
    </row>
    <row r="558" customFormat="false" ht="13.8" hidden="false" customHeight="false" outlineLevel="0" collapsed="false">
      <c r="A558" s="0" t="str">
        <f aca="false">CONCATENATE("__import__.res_partner_",C558)</f>
        <v>__import__.res_partner_20000010328</v>
      </c>
      <c r="B558" s="2" t="s">
        <v>5157</v>
      </c>
      <c r="C558" s="3" t="s">
        <v>5158</v>
      </c>
      <c r="D558" s="2" t="s">
        <v>5159</v>
      </c>
      <c r="F558" s="2" t="s">
        <v>30</v>
      </c>
      <c r="G558" s="2" t="s">
        <v>31</v>
      </c>
      <c r="H558" s="2" t="s">
        <v>32</v>
      </c>
      <c r="K558" s="2" t="s">
        <v>5160</v>
      </c>
      <c r="L558" s="3" t="s">
        <v>3257</v>
      </c>
      <c r="M558" s="2" t="s">
        <v>5161</v>
      </c>
      <c r="O558" s="2" t="s">
        <v>5162</v>
      </c>
      <c r="P558" s="2" t="s">
        <v>37</v>
      </c>
      <c r="Q558" s="2" t="s">
        <v>5163</v>
      </c>
      <c r="R558" s="2" t="s">
        <v>5164</v>
      </c>
      <c r="T558" s="2" t="s">
        <v>697</v>
      </c>
      <c r="X558" s="2" t="n">
        <v>10328</v>
      </c>
      <c r="Y558" s="2" t="s">
        <v>678</v>
      </c>
      <c r="Z558" s="3" t="s">
        <v>5165</v>
      </c>
    </row>
    <row r="559" customFormat="false" ht="13.8" hidden="false" customHeight="false" outlineLevel="0" collapsed="false">
      <c r="A559" s="0" t="str">
        <f aca="false">CONCATENATE("__import__.res_partner_",C559)</f>
        <v>__import__.res_partner_20000010329</v>
      </c>
      <c r="B559" s="2" t="s">
        <v>5166</v>
      </c>
      <c r="C559" s="3" t="s">
        <v>5167</v>
      </c>
      <c r="D559" s="2" t="s">
        <v>5168</v>
      </c>
      <c r="F559" s="2" t="s">
        <v>30</v>
      </c>
      <c r="G559" s="2" t="s">
        <v>31</v>
      </c>
      <c r="H559" s="2" t="s">
        <v>32</v>
      </c>
      <c r="K559" s="2" t="s">
        <v>5169</v>
      </c>
      <c r="L559" s="3" t="s">
        <v>5170</v>
      </c>
      <c r="M559" s="2" t="s">
        <v>5171</v>
      </c>
      <c r="O559" s="2" t="s">
        <v>5172</v>
      </c>
      <c r="P559" s="2" t="s">
        <v>37</v>
      </c>
      <c r="Q559" s="2" t="s">
        <v>38</v>
      </c>
      <c r="R559" s="2" t="s">
        <v>5173</v>
      </c>
      <c r="T559" s="2" t="s">
        <v>97</v>
      </c>
      <c r="X559" s="2" t="n">
        <v>10329</v>
      </c>
      <c r="Y559" s="2" t="s">
        <v>5174</v>
      </c>
      <c r="Z559" s="3" t="s">
        <v>5175</v>
      </c>
    </row>
    <row r="560" customFormat="false" ht="13.8" hidden="false" customHeight="false" outlineLevel="0" collapsed="false">
      <c r="A560" s="0" t="str">
        <f aca="false">CONCATENATE("__import__.res_partner_",C560)</f>
        <v>__import__.res_partner_20000010330</v>
      </c>
      <c r="B560" s="2" t="s">
        <v>5176</v>
      </c>
      <c r="C560" s="3" t="s">
        <v>5177</v>
      </c>
      <c r="D560" s="2" t="s">
        <v>5178</v>
      </c>
      <c r="F560" s="2" t="s">
        <v>30</v>
      </c>
      <c r="G560" s="2" t="s">
        <v>31</v>
      </c>
      <c r="H560" s="2" t="s">
        <v>32</v>
      </c>
      <c r="K560" s="2" t="s">
        <v>5179</v>
      </c>
      <c r="L560" s="3" t="s">
        <v>5180</v>
      </c>
      <c r="M560" s="2" t="s">
        <v>5181</v>
      </c>
      <c r="O560" s="2" t="s">
        <v>36</v>
      </c>
      <c r="P560" s="2" t="s">
        <v>37</v>
      </c>
      <c r="Q560" s="2" t="s">
        <v>5182</v>
      </c>
      <c r="R560" s="3" t="s">
        <v>5183</v>
      </c>
      <c r="T560" s="2" t="s">
        <v>40</v>
      </c>
      <c r="X560" s="2" t="n">
        <v>10330</v>
      </c>
      <c r="Y560" s="2" t="s">
        <v>5184</v>
      </c>
      <c r="Z560" s="3" t="s">
        <v>5185</v>
      </c>
    </row>
    <row r="561" customFormat="false" ht="13.8" hidden="false" customHeight="false" outlineLevel="0" collapsed="false">
      <c r="A561" s="0" t="str">
        <f aca="false">CONCATENATE("__import__.res_partner_",C561)</f>
        <v>__import__.res_partner_20000010331</v>
      </c>
      <c r="B561" s="2" t="s">
        <v>5186</v>
      </c>
      <c r="C561" s="3" t="s">
        <v>5187</v>
      </c>
      <c r="D561" s="2" t="s">
        <v>5188</v>
      </c>
      <c r="F561" s="2" t="s">
        <v>30</v>
      </c>
      <c r="G561" s="2" t="s">
        <v>31</v>
      </c>
      <c r="H561" s="2" t="s">
        <v>32</v>
      </c>
      <c r="K561" s="2" t="s">
        <v>5189</v>
      </c>
      <c r="L561" s="2" t="s">
        <v>5190</v>
      </c>
      <c r="M561" s="2" t="s">
        <v>5191</v>
      </c>
      <c r="O561" s="2" t="s">
        <v>5192</v>
      </c>
      <c r="P561" s="2" t="s">
        <v>675</v>
      </c>
      <c r="Q561" s="2" t="s">
        <v>5193</v>
      </c>
      <c r="R561" s="2" t="s">
        <v>5194</v>
      </c>
      <c r="T561" s="2" t="s">
        <v>5195</v>
      </c>
      <c r="X561" s="2" t="n">
        <v>10331</v>
      </c>
      <c r="Y561" s="2" t="s">
        <v>5196</v>
      </c>
      <c r="Z561" s="3" t="s">
        <v>5197</v>
      </c>
    </row>
    <row r="562" customFormat="false" ht="13.8" hidden="false" customHeight="false" outlineLevel="0" collapsed="false">
      <c r="A562" s="0" t="str">
        <f aca="false">CONCATENATE("__import__.res_partner_",C562)</f>
        <v>__import__.res_partner_20000010332</v>
      </c>
      <c r="B562" s="2" t="s">
        <v>5198</v>
      </c>
      <c r="C562" s="3" t="s">
        <v>5199</v>
      </c>
      <c r="D562" s="2" t="s">
        <v>5200</v>
      </c>
      <c r="F562" s="2" t="s">
        <v>30</v>
      </c>
      <c r="G562" s="2" t="s">
        <v>31</v>
      </c>
      <c r="H562" s="2" t="s">
        <v>32</v>
      </c>
      <c r="K562" s="2" t="s">
        <v>5201</v>
      </c>
      <c r="L562" s="3" t="s">
        <v>5202</v>
      </c>
      <c r="M562" s="2" t="s">
        <v>5203</v>
      </c>
      <c r="O562" s="2" t="s">
        <v>461</v>
      </c>
      <c r="P562" s="2" t="s">
        <v>37</v>
      </c>
      <c r="Q562" s="2" t="s">
        <v>4707</v>
      </c>
      <c r="T562" s="2" t="s">
        <v>97</v>
      </c>
      <c r="X562" s="2" t="n">
        <v>10332</v>
      </c>
      <c r="Y562" s="2" t="s">
        <v>5204</v>
      </c>
      <c r="Z562" s="3" t="s">
        <v>5205</v>
      </c>
    </row>
    <row r="563" customFormat="false" ht="13.8" hidden="false" customHeight="false" outlineLevel="0" collapsed="false">
      <c r="A563" s="0" t="str">
        <f aca="false">CONCATENATE("__import__.res_partner_",C563)</f>
        <v>__import__.res_partner_20000010333</v>
      </c>
      <c r="B563" s="2" t="s">
        <v>5206</v>
      </c>
      <c r="C563" s="3" t="s">
        <v>5207</v>
      </c>
      <c r="D563" s="2" t="s">
        <v>5208</v>
      </c>
      <c r="F563" s="2" t="s">
        <v>30</v>
      </c>
      <c r="G563" s="2" t="s">
        <v>31</v>
      </c>
      <c r="H563" s="2" t="s">
        <v>32</v>
      </c>
      <c r="K563" s="2" t="s">
        <v>5209</v>
      </c>
      <c r="L563" s="3" t="s">
        <v>5210</v>
      </c>
      <c r="M563" s="2" t="s">
        <v>5211</v>
      </c>
      <c r="O563" s="2" t="s">
        <v>5212</v>
      </c>
      <c r="P563" s="2" t="s">
        <v>37</v>
      </c>
      <c r="Q563" s="2" t="s">
        <v>5213</v>
      </c>
      <c r="R563" s="2" t="s">
        <v>5214</v>
      </c>
      <c r="T563" s="2" t="s">
        <v>697</v>
      </c>
      <c r="X563" s="2" t="n">
        <v>10333</v>
      </c>
      <c r="Y563" s="2" t="s">
        <v>5215</v>
      </c>
      <c r="Z563" s="3" t="s">
        <v>5216</v>
      </c>
    </row>
    <row r="564" customFormat="false" ht="13.8" hidden="false" customHeight="false" outlineLevel="0" collapsed="false">
      <c r="A564" s="0" t="str">
        <f aca="false">CONCATENATE("__import__.res_partner_",C564)</f>
        <v>__import__.res_partner_20000010334</v>
      </c>
      <c r="B564" s="2" t="s">
        <v>5217</v>
      </c>
      <c r="C564" s="3" t="s">
        <v>5218</v>
      </c>
      <c r="D564" s="2" t="s">
        <v>5219</v>
      </c>
      <c r="F564" s="2" t="s">
        <v>30</v>
      </c>
      <c r="G564" s="2" t="s">
        <v>31</v>
      </c>
      <c r="H564" s="2" t="s">
        <v>32</v>
      </c>
      <c r="K564" s="2" t="s">
        <v>5220</v>
      </c>
      <c r="L564" s="3" t="s">
        <v>5221</v>
      </c>
      <c r="M564" s="2" t="s">
        <v>5222</v>
      </c>
      <c r="O564" s="2" t="s">
        <v>5223</v>
      </c>
      <c r="P564" s="2" t="s">
        <v>37</v>
      </c>
      <c r="Q564" s="2" t="s">
        <v>5224</v>
      </c>
      <c r="R564" s="2" t="s">
        <v>5225</v>
      </c>
      <c r="T564" s="2" t="s">
        <v>108</v>
      </c>
      <c r="X564" s="2" t="n">
        <v>10334</v>
      </c>
      <c r="Y564" s="2" t="s">
        <v>5226</v>
      </c>
      <c r="Z564" s="3" t="s">
        <v>5227</v>
      </c>
    </row>
    <row r="565" customFormat="false" ht="13.8" hidden="false" customHeight="false" outlineLevel="0" collapsed="false">
      <c r="A565" s="0" t="str">
        <f aca="false">CONCATENATE("__import__.res_partner_",C565)</f>
        <v>__import__.res_partner_20000010335</v>
      </c>
      <c r="B565" s="2" t="s">
        <v>5228</v>
      </c>
      <c r="C565" s="3" t="s">
        <v>5229</v>
      </c>
      <c r="D565" s="2" t="s">
        <v>5230</v>
      </c>
      <c r="F565" s="2" t="s">
        <v>30</v>
      </c>
      <c r="G565" s="2" t="s">
        <v>31</v>
      </c>
      <c r="H565" s="2" t="s">
        <v>32</v>
      </c>
      <c r="K565" s="2" t="s">
        <v>5231</v>
      </c>
      <c r="L565" s="3" t="s">
        <v>5232</v>
      </c>
      <c r="M565" s="2" t="s">
        <v>5233</v>
      </c>
      <c r="O565" s="2" t="s">
        <v>5234</v>
      </c>
      <c r="P565" s="2" t="s">
        <v>37</v>
      </c>
      <c r="T565" s="2" t="s">
        <v>76</v>
      </c>
      <c r="X565" s="2" t="n">
        <v>10335</v>
      </c>
      <c r="Y565" s="2" t="s">
        <v>678</v>
      </c>
      <c r="Z565" s="3" t="s">
        <v>5235</v>
      </c>
    </row>
    <row r="566" customFormat="false" ht="16.4" hidden="false" customHeight="false" outlineLevel="0" collapsed="false">
      <c r="A566" s="0" t="str">
        <f aca="false">CONCATENATE("__import__.res_partner_",C566)</f>
        <v>__import__.res_partner_20000010336</v>
      </c>
      <c r="B566" s="2" t="s">
        <v>5236</v>
      </c>
      <c r="C566" s="3" t="s">
        <v>5237</v>
      </c>
      <c r="D566" s="2" t="s">
        <v>5238</v>
      </c>
      <c r="F566" s="2" t="s">
        <v>30</v>
      </c>
      <c r="G566" s="2" t="s">
        <v>31</v>
      </c>
      <c r="H566" s="2" t="s">
        <v>32</v>
      </c>
      <c r="K566" s="2" t="s">
        <v>5239</v>
      </c>
      <c r="L566" s="3" t="s">
        <v>5240</v>
      </c>
      <c r="M566" s="2" t="s">
        <v>5241</v>
      </c>
      <c r="O566" s="2" t="s">
        <v>5242</v>
      </c>
      <c r="P566" s="2" t="s">
        <v>37</v>
      </c>
      <c r="Q566" s="2" t="s">
        <v>5243</v>
      </c>
      <c r="R566" s="2" t="s">
        <v>5244</v>
      </c>
      <c r="T566" s="2" t="s">
        <v>697</v>
      </c>
      <c r="X566" s="2" t="n">
        <v>10336</v>
      </c>
      <c r="Y566" s="2" t="s">
        <v>5245</v>
      </c>
      <c r="Z566" s="3" t="s">
        <v>5246</v>
      </c>
      <c r="AA566" s="4" t="s">
        <v>5247</v>
      </c>
    </row>
    <row r="567" customFormat="false" ht="16.4" hidden="false" customHeight="false" outlineLevel="0" collapsed="false">
      <c r="A567" s="0" t="str">
        <f aca="false">CONCATENATE("__import__.res_partner_",C567)</f>
        <v>__import__.res_partner_20000010337</v>
      </c>
      <c r="B567" s="2" t="s">
        <v>5248</v>
      </c>
      <c r="C567" s="3" t="s">
        <v>5249</v>
      </c>
      <c r="D567" s="2" t="s">
        <v>5250</v>
      </c>
      <c r="F567" s="2" t="s">
        <v>30</v>
      </c>
      <c r="G567" s="2" t="s">
        <v>31</v>
      </c>
      <c r="H567" s="2" t="s">
        <v>32</v>
      </c>
      <c r="K567" s="2" t="s">
        <v>5251</v>
      </c>
      <c r="L567" s="3" t="s">
        <v>641</v>
      </c>
      <c r="M567" s="2" t="s">
        <v>5252</v>
      </c>
      <c r="O567" s="2" t="s">
        <v>643</v>
      </c>
      <c r="P567" s="2" t="s">
        <v>37</v>
      </c>
      <c r="Q567" s="2" t="s">
        <v>5253</v>
      </c>
      <c r="R567" s="3" t="s">
        <v>5254</v>
      </c>
      <c r="T567" s="2" t="s">
        <v>959</v>
      </c>
      <c r="X567" s="2" t="n">
        <v>10337</v>
      </c>
      <c r="Y567" s="2" t="s">
        <v>5255</v>
      </c>
      <c r="Z567" s="3" t="s">
        <v>5256</v>
      </c>
      <c r="AA567" s="4" t="s">
        <v>5257</v>
      </c>
    </row>
    <row r="568" customFormat="false" ht="13.8" hidden="false" customHeight="false" outlineLevel="0" collapsed="false">
      <c r="A568" s="0" t="str">
        <f aca="false">CONCATENATE("__import__.res_partner_",C568)</f>
        <v>__import__.res_partner_20000010338</v>
      </c>
      <c r="B568" s="2" t="s">
        <v>5258</v>
      </c>
      <c r="C568" s="3" t="s">
        <v>5259</v>
      </c>
      <c r="D568" s="2" t="s">
        <v>5260</v>
      </c>
      <c r="F568" s="2" t="s">
        <v>30</v>
      </c>
      <c r="G568" s="2" t="s">
        <v>31</v>
      </c>
      <c r="H568" s="2" t="s">
        <v>32</v>
      </c>
      <c r="K568" s="2" t="s">
        <v>5261</v>
      </c>
      <c r="L568" s="3" t="s">
        <v>5262</v>
      </c>
      <c r="M568" s="2" t="s">
        <v>5263</v>
      </c>
      <c r="O568" s="2" t="s">
        <v>5264</v>
      </c>
      <c r="P568" s="2" t="s">
        <v>37</v>
      </c>
      <c r="Q568" s="2" t="s">
        <v>5265</v>
      </c>
      <c r="R568" s="2" t="s">
        <v>5266</v>
      </c>
      <c r="T568" s="2" t="s">
        <v>97</v>
      </c>
      <c r="V568" s="2" t="s">
        <v>3065</v>
      </c>
      <c r="W568" s="2" t="s">
        <v>5267</v>
      </c>
      <c r="X568" s="2" t="n">
        <v>10338</v>
      </c>
      <c r="Y568" s="2" t="s">
        <v>678</v>
      </c>
      <c r="Z568" s="3" t="s">
        <v>5268</v>
      </c>
    </row>
    <row r="569" customFormat="false" ht="13.8" hidden="false" customHeight="false" outlineLevel="0" collapsed="false">
      <c r="A569" s="0" t="str">
        <f aca="false">CONCATENATE("__import__.res_partner_",C569)</f>
        <v>__import__.res_partner_20000010339</v>
      </c>
      <c r="B569" s="2" t="s">
        <v>5269</v>
      </c>
      <c r="C569" s="3" t="s">
        <v>5270</v>
      </c>
      <c r="D569" s="2" t="s">
        <v>5271</v>
      </c>
      <c r="F569" s="2" t="s">
        <v>30</v>
      </c>
      <c r="G569" s="2" t="s">
        <v>31</v>
      </c>
      <c r="H569" s="2" t="s">
        <v>32</v>
      </c>
      <c r="K569" s="2" t="s">
        <v>5272</v>
      </c>
      <c r="L569" s="3" t="s">
        <v>5273</v>
      </c>
      <c r="M569" s="2" t="s">
        <v>5274</v>
      </c>
      <c r="O569" s="2" t="s">
        <v>5275</v>
      </c>
      <c r="P569" s="2" t="s">
        <v>37</v>
      </c>
      <c r="R569" s="3" t="s">
        <v>5276</v>
      </c>
      <c r="T569" s="2" t="s">
        <v>697</v>
      </c>
      <c r="X569" s="2" t="n">
        <v>10339</v>
      </c>
      <c r="Y569" s="2" t="s">
        <v>678</v>
      </c>
      <c r="Z569" s="3" t="s">
        <v>5277</v>
      </c>
    </row>
    <row r="570" customFormat="false" ht="13.8" hidden="false" customHeight="false" outlineLevel="0" collapsed="false">
      <c r="A570" s="0" t="str">
        <f aca="false">CONCATENATE("__import__.res_partner_",C570)</f>
        <v>__import__.res_partner_20000010340</v>
      </c>
      <c r="B570" s="2" t="s">
        <v>5278</v>
      </c>
      <c r="C570" s="3" t="s">
        <v>5279</v>
      </c>
      <c r="D570" s="2" t="s">
        <v>5280</v>
      </c>
      <c r="F570" s="2" t="s">
        <v>30</v>
      </c>
      <c r="G570" s="2" t="s">
        <v>31</v>
      </c>
      <c r="H570" s="2" t="s">
        <v>32</v>
      </c>
      <c r="K570" s="2" t="s">
        <v>5281</v>
      </c>
      <c r="M570" s="2" t="s">
        <v>5282</v>
      </c>
      <c r="N570" s="2" t="s">
        <v>5283</v>
      </c>
      <c r="O570" s="2" t="s">
        <v>5284</v>
      </c>
      <c r="P570" s="2" t="s">
        <v>1004</v>
      </c>
      <c r="T570" s="2" t="s">
        <v>97</v>
      </c>
      <c r="X570" s="2" t="n">
        <v>10340</v>
      </c>
      <c r="Y570" s="2" t="s">
        <v>678</v>
      </c>
      <c r="Z570" s="3" t="s">
        <v>5285</v>
      </c>
    </row>
    <row r="571" customFormat="false" ht="13.8" hidden="false" customHeight="false" outlineLevel="0" collapsed="false">
      <c r="A571" s="0" t="str">
        <f aca="false">CONCATENATE("__import__.res_partner_",C571)</f>
        <v>__import__.res_partner_20000010341</v>
      </c>
      <c r="B571" s="2" t="s">
        <v>5286</v>
      </c>
      <c r="C571" s="3" t="s">
        <v>5287</v>
      </c>
      <c r="D571" s="2" t="s">
        <v>5288</v>
      </c>
      <c r="F571" s="2" t="s">
        <v>30</v>
      </c>
      <c r="G571" s="2" t="s">
        <v>31</v>
      </c>
      <c r="H571" s="2" t="s">
        <v>32</v>
      </c>
      <c r="K571" s="2" t="s">
        <v>5289</v>
      </c>
      <c r="L571" s="2" t="s">
        <v>5290</v>
      </c>
      <c r="M571" s="2" t="s">
        <v>5291</v>
      </c>
      <c r="O571" s="2" t="s">
        <v>5292</v>
      </c>
      <c r="P571" s="2" t="s">
        <v>675</v>
      </c>
      <c r="Q571" s="2" t="s">
        <v>5293</v>
      </c>
      <c r="T571" s="2" t="s">
        <v>959</v>
      </c>
      <c r="X571" s="2" t="n">
        <v>10341</v>
      </c>
      <c r="Y571" s="2" t="s">
        <v>678</v>
      </c>
      <c r="Z571" s="3" t="s">
        <v>5294</v>
      </c>
    </row>
    <row r="572" customFormat="false" ht="13.8" hidden="false" customHeight="false" outlineLevel="0" collapsed="false">
      <c r="A572" s="0" t="str">
        <f aca="false">CONCATENATE("__import__.res_partner_",C572)</f>
        <v>__import__.res_partner_20000010342</v>
      </c>
      <c r="B572" s="2" t="s">
        <v>5295</v>
      </c>
      <c r="C572" s="3" t="s">
        <v>5296</v>
      </c>
      <c r="D572" s="2" t="s">
        <v>5297</v>
      </c>
      <c r="F572" s="2" t="s">
        <v>30</v>
      </c>
      <c r="G572" s="2" t="s">
        <v>31</v>
      </c>
      <c r="H572" s="2" t="s">
        <v>32</v>
      </c>
      <c r="K572" s="2" t="s">
        <v>5298</v>
      </c>
      <c r="L572" s="3" t="s">
        <v>5299</v>
      </c>
      <c r="M572" s="2" t="s">
        <v>5300</v>
      </c>
      <c r="O572" s="2" t="s">
        <v>5301</v>
      </c>
      <c r="P572" s="2" t="s">
        <v>2404</v>
      </c>
      <c r="Q572" s="2" t="s">
        <v>5302</v>
      </c>
      <c r="T572" s="2" t="s">
        <v>64</v>
      </c>
      <c r="X572" s="2" t="n">
        <v>10342</v>
      </c>
      <c r="Y572" s="2" t="s">
        <v>678</v>
      </c>
      <c r="Z572" s="3" t="s">
        <v>5303</v>
      </c>
    </row>
    <row r="573" customFormat="false" ht="13.8" hidden="false" customHeight="false" outlineLevel="0" collapsed="false">
      <c r="A573" s="0" t="str">
        <f aca="false">CONCATENATE("__import__.res_partner_",C573)</f>
        <v>__import__.res_partner_20000010343</v>
      </c>
      <c r="B573" s="2" t="s">
        <v>5304</v>
      </c>
      <c r="C573" s="3" t="s">
        <v>5305</v>
      </c>
      <c r="D573" s="2" t="s">
        <v>5306</v>
      </c>
      <c r="F573" s="2" t="s">
        <v>30</v>
      </c>
      <c r="G573" s="2" t="s">
        <v>31</v>
      </c>
      <c r="H573" s="2" t="s">
        <v>32</v>
      </c>
      <c r="K573" s="2" t="s">
        <v>5307</v>
      </c>
      <c r="L573" s="3" t="s">
        <v>5308</v>
      </c>
      <c r="M573" s="2" t="s">
        <v>5309</v>
      </c>
      <c r="O573" s="2" t="s">
        <v>5117</v>
      </c>
      <c r="P573" s="2" t="s">
        <v>37</v>
      </c>
      <c r="Q573" s="2" t="s">
        <v>5310</v>
      </c>
      <c r="T573" s="2" t="s">
        <v>97</v>
      </c>
      <c r="X573" s="2" t="n">
        <v>10343</v>
      </c>
      <c r="Y573" s="2" t="s">
        <v>678</v>
      </c>
      <c r="Z573" s="3" t="s">
        <v>5311</v>
      </c>
    </row>
    <row r="574" customFormat="false" ht="13.8" hidden="false" customHeight="false" outlineLevel="0" collapsed="false">
      <c r="A574" s="0" t="str">
        <f aca="false">CONCATENATE("__import__.res_partner_",C574)</f>
        <v>__import__.res_partner_20000010344</v>
      </c>
      <c r="B574" s="2" t="s">
        <v>5312</v>
      </c>
      <c r="C574" s="3" t="s">
        <v>5313</v>
      </c>
      <c r="D574" s="2" t="s">
        <v>5314</v>
      </c>
      <c r="F574" s="2" t="s">
        <v>30</v>
      </c>
      <c r="G574" s="2" t="s">
        <v>31</v>
      </c>
      <c r="H574" s="2" t="s">
        <v>32</v>
      </c>
      <c r="K574" s="2" t="s">
        <v>5315</v>
      </c>
      <c r="L574" s="3" t="s">
        <v>5316</v>
      </c>
      <c r="M574" s="2" t="s">
        <v>5317</v>
      </c>
      <c r="O574" s="2" t="s">
        <v>5117</v>
      </c>
      <c r="P574" s="2" t="s">
        <v>37</v>
      </c>
      <c r="Q574" s="2" t="s">
        <v>5318</v>
      </c>
      <c r="R574" s="3" t="s">
        <v>5319</v>
      </c>
      <c r="T574" s="2" t="s">
        <v>40</v>
      </c>
      <c r="X574" s="2" t="n">
        <v>10344</v>
      </c>
      <c r="Y574" s="2" t="s">
        <v>678</v>
      </c>
      <c r="Z574" s="3" t="s">
        <v>5320</v>
      </c>
    </row>
    <row r="575" customFormat="false" ht="13.8" hidden="false" customHeight="false" outlineLevel="0" collapsed="false">
      <c r="A575" s="0" t="str">
        <f aca="false">CONCATENATE("__import__.res_partner_",C575)</f>
        <v>__import__.res_partner_20000010345</v>
      </c>
      <c r="B575" s="2" t="s">
        <v>5321</v>
      </c>
      <c r="C575" s="3" t="s">
        <v>5322</v>
      </c>
      <c r="D575" s="2" t="s">
        <v>5323</v>
      </c>
      <c r="F575" s="2" t="s">
        <v>30</v>
      </c>
      <c r="G575" s="2" t="s">
        <v>31</v>
      </c>
      <c r="H575" s="2" t="s">
        <v>32</v>
      </c>
      <c r="K575" s="2" t="s">
        <v>5324</v>
      </c>
      <c r="L575" s="3" t="s">
        <v>825</v>
      </c>
      <c r="M575" s="2" t="s">
        <v>5325</v>
      </c>
      <c r="O575" s="2" t="s">
        <v>4378</v>
      </c>
      <c r="P575" s="2" t="s">
        <v>37</v>
      </c>
      <c r="Q575" s="2" t="s">
        <v>5326</v>
      </c>
      <c r="R575" s="2" t="s">
        <v>5327</v>
      </c>
      <c r="T575" s="2" t="s">
        <v>40</v>
      </c>
      <c r="X575" s="2" t="n">
        <v>10345</v>
      </c>
      <c r="Y575" s="2" t="s">
        <v>5328</v>
      </c>
      <c r="Z575" s="3" t="s">
        <v>5329</v>
      </c>
    </row>
    <row r="576" customFormat="false" ht="13.8" hidden="false" customHeight="false" outlineLevel="0" collapsed="false">
      <c r="A576" s="0" t="str">
        <f aca="false">CONCATENATE("__import__.res_partner_",C576)</f>
        <v>__import__.res_partner_20000010346</v>
      </c>
      <c r="B576" s="2" t="s">
        <v>5330</v>
      </c>
      <c r="C576" s="3" t="s">
        <v>5331</v>
      </c>
      <c r="D576" s="2" t="s">
        <v>5332</v>
      </c>
      <c r="F576" s="2" t="s">
        <v>30</v>
      </c>
      <c r="G576" s="2" t="s">
        <v>31</v>
      </c>
      <c r="H576" s="2" t="s">
        <v>32</v>
      </c>
      <c r="K576" s="2" t="s">
        <v>5333</v>
      </c>
      <c r="M576" s="2" t="s">
        <v>5334</v>
      </c>
      <c r="O576" s="2" t="s">
        <v>5335</v>
      </c>
      <c r="P576" s="2" t="s">
        <v>5336</v>
      </c>
      <c r="Q576" s="2" t="s">
        <v>5337</v>
      </c>
      <c r="R576" s="2" t="s">
        <v>5338</v>
      </c>
      <c r="T576" s="2" t="s">
        <v>697</v>
      </c>
      <c r="X576" s="2" t="n">
        <v>10346</v>
      </c>
      <c r="Y576" s="2" t="s">
        <v>5339</v>
      </c>
      <c r="Z576" s="3" t="s">
        <v>5340</v>
      </c>
    </row>
    <row r="577" customFormat="false" ht="13.8" hidden="false" customHeight="false" outlineLevel="0" collapsed="false">
      <c r="A577" s="0" t="str">
        <f aca="false">CONCATENATE("__import__.res_partner_",C577)</f>
        <v>__import__.res_partner_20000010347</v>
      </c>
      <c r="B577" s="2" t="s">
        <v>5341</v>
      </c>
      <c r="C577" s="3" t="s">
        <v>5342</v>
      </c>
      <c r="D577" s="2" t="s">
        <v>5343</v>
      </c>
      <c r="F577" s="2" t="s">
        <v>30</v>
      </c>
      <c r="G577" s="2" t="s">
        <v>31</v>
      </c>
      <c r="H577" s="2" t="s">
        <v>32</v>
      </c>
      <c r="K577" s="2" t="s">
        <v>5344</v>
      </c>
      <c r="L577" s="3" t="s">
        <v>2014</v>
      </c>
      <c r="M577" s="2" t="s">
        <v>5345</v>
      </c>
      <c r="O577" s="2" t="s">
        <v>2195</v>
      </c>
      <c r="P577" s="2" t="s">
        <v>37</v>
      </c>
      <c r="Q577" s="2" t="s">
        <v>5346</v>
      </c>
      <c r="R577" s="2" t="s">
        <v>5347</v>
      </c>
      <c r="T577" s="2" t="s">
        <v>697</v>
      </c>
      <c r="X577" s="2" t="n">
        <v>10347</v>
      </c>
      <c r="Y577" s="2" t="s">
        <v>5348</v>
      </c>
      <c r="Z577" s="3" t="s">
        <v>5349</v>
      </c>
    </row>
    <row r="578" customFormat="false" ht="13.8" hidden="false" customHeight="false" outlineLevel="0" collapsed="false">
      <c r="A578" s="0" t="str">
        <f aca="false">CONCATENATE("__import__.res_partner_",C578)</f>
        <v>__import__.res_partner_20000010349</v>
      </c>
      <c r="B578" s="2" t="s">
        <v>5350</v>
      </c>
      <c r="C578" s="3" t="s">
        <v>5351</v>
      </c>
      <c r="D578" s="2" t="s">
        <v>5352</v>
      </c>
      <c r="F578" s="2" t="s">
        <v>30</v>
      </c>
      <c r="G578" s="2" t="s">
        <v>1664</v>
      </c>
      <c r="H578" s="2" t="s">
        <v>32</v>
      </c>
      <c r="K578" s="2" t="s">
        <v>5353</v>
      </c>
      <c r="L578" s="3" t="s">
        <v>5354</v>
      </c>
      <c r="M578" s="2" t="s">
        <v>5355</v>
      </c>
      <c r="O578" s="2" t="s">
        <v>2709</v>
      </c>
      <c r="P578" s="2" t="s">
        <v>37</v>
      </c>
      <c r="Q578" s="2" t="s">
        <v>5356</v>
      </c>
      <c r="R578" s="3" t="s">
        <v>5357</v>
      </c>
      <c r="T578" s="2" t="s">
        <v>697</v>
      </c>
      <c r="X578" s="2" t="n">
        <v>10349</v>
      </c>
      <c r="Y578" s="2" t="s">
        <v>5358</v>
      </c>
      <c r="Z578" s="3" t="s">
        <v>5359</v>
      </c>
    </row>
    <row r="579" customFormat="false" ht="13.8" hidden="false" customHeight="false" outlineLevel="0" collapsed="false">
      <c r="A579" s="0" t="str">
        <f aca="false">CONCATENATE("__import__.res_partner_",C579)</f>
        <v>__import__.res_partner_20000010350</v>
      </c>
      <c r="B579" s="2" t="s">
        <v>5360</v>
      </c>
      <c r="C579" s="3" t="s">
        <v>5361</v>
      </c>
      <c r="D579" s="2" t="s">
        <v>5362</v>
      </c>
      <c r="F579" s="2" t="s">
        <v>30</v>
      </c>
      <c r="G579" s="2" t="s">
        <v>1664</v>
      </c>
      <c r="H579" s="2" t="s">
        <v>32</v>
      </c>
      <c r="K579" s="2" t="s">
        <v>5363</v>
      </c>
      <c r="L579" s="3" t="s">
        <v>3257</v>
      </c>
      <c r="M579" s="2" t="s">
        <v>5364</v>
      </c>
      <c r="O579" s="2" t="s">
        <v>2881</v>
      </c>
      <c r="P579" s="2" t="s">
        <v>37</v>
      </c>
      <c r="R579" s="3" t="s">
        <v>5365</v>
      </c>
      <c r="T579" s="2" t="s">
        <v>97</v>
      </c>
      <c r="X579" s="2" t="n">
        <v>10350</v>
      </c>
      <c r="Y579" s="2" t="s">
        <v>678</v>
      </c>
      <c r="Z579" s="3" t="s">
        <v>5366</v>
      </c>
    </row>
    <row r="580" customFormat="false" ht="13.8" hidden="false" customHeight="false" outlineLevel="0" collapsed="false">
      <c r="A580" s="0" t="str">
        <f aca="false">CONCATENATE("__import__.res_partner_",C580)</f>
        <v>__import__.res_partner_20000010351</v>
      </c>
      <c r="B580" s="2" t="s">
        <v>5367</v>
      </c>
      <c r="C580" s="3" t="s">
        <v>5368</v>
      </c>
      <c r="D580" s="2" t="s">
        <v>5369</v>
      </c>
      <c r="F580" s="2" t="s">
        <v>30</v>
      </c>
      <c r="G580" s="2" t="s">
        <v>1664</v>
      </c>
      <c r="H580" s="2" t="s">
        <v>32</v>
      </c>
      <c r="K580" s="2" t="s">
        <v>5370</v>
      </c>
      <c r="L580" s="3" t="s">
        <v>2763</v>
      </c>
      <c r="M580" s="2" t="s">
        <v>5371</v>
      </c>
      <c r="N580" s="2" t="s">
        <v>5372</v>
      </c>
      <c r="O580" s="2" t="s">
        <v>3689</v>
      </c>
      <c r="P580" s="2" t="s">
        <v>37</v>
      </c>
      <c r="Q580" s="2" t="s">
        <v>5373</v>
      </c>
      <c r="R580" s="3" t="s">
        <v>5374</v>
      </c>
      <c r="T580" s="2" t="s">
        <v>97</v>
      </c>
      <c r="X580" s="2" t="n">
        <v>10351</v>
      </c>
      <c r="Y580" s="2" t="s">
        <v>678</v>
      </c>
      <c r="Z580" s="3" t="s">
        <v>5375</v>
      </c>
    </row>
    <row r="581" customFormat="false" ht="13.8" hidden="false" customHeight="false" outlineLevel="0" collapsed="false">
      <c r="A581" s="0" t="str">
        <f aca="false">CONCATENATE("__import__.res_partner_",C581)</f>
        <v>__import__.res_partner_20000010352</v>
      </c>
      <c r="B581" s="2" t="s">
        <v>5376</v>
      </c>
      <c r="C581" s="3" t="s">
        <v>5377</v>
      </c>
      <c r="D581" s="2" t="s">
        <v>5378</v>
      </c>
      <c r="F581" s="2" t="s">
        <v>30</v>
      </c>
      <c r="G581" s="2" t="s">
        <v>1664</v>
      </c>
      <c r="H581" s="2" t="s">
        <v>32</v>
      </c>
      <c r="K581" s="2" t="s">
        <v>5379</v>
      </c>
      <c r="L581" s="3" t="s">
        <v>5380</v>
      </c>
      <c r="M581" s="2" t="s">
        <v>5381</v>
      </c>
      <c r="N581" s="2" t="s">
        <v>5382</v>
      </c>
      <c r="O581" s="2" t="s">
        <v>5383</v>
      </c>
      <c r="P581" s="2" t="s">
        <v>37</v>
      </c>
      <c r="R581" s="3" t="s">
        <v>5384</v>
      </c>
      <c r="T581" s="2" t="s">
        <v>697</v>
      </c>
      <c r="X581" s="2" t="n">
        <v>10352</v>
      </c>
      <c r="Y581" s="2" t="s">
        <v>678</v>
      </c>
      <c r="Z581" s="3" t="s">
        <v>5385</v>
      </c>
    </row>
    <row r="582" customFormat="false" ht="13.8" hidden="false" customHeight="false" outlineLevel="0" collapsed="false">
      <c r="A582" s="0" t="str">
        <f aca="false">CONCATENATE("__import__.res_partner_",C582)</f>
        <v>__import__.res_partner_20000010353</v>
      </c>
      <c r="B582" s="2" t="s">
        <v>5386</v>
      </c>
      <c r="C582" s="3" t="s">
        <v>5387</v>
      </c>
      <c r="D582" s="2" t="s">
        <v>5388</v>
      </c>
      <c r="F582" s="2" t="s">
        <v>30</v>
      </c>
      <c r="G582" s="2" t="s">
        <v>31</v>
      </c>
      <c r="H582" s="2" t="s">
        <v>32</v>
      </c>
      <c r="K582" s="2" t="s">
        <v>5389</v>
      </c>
      <c r="L582" s="2" t="s">
        <v>5390</v>
      </c>
      <c r="M582" s="2" t="s">
        <v>5391</v>
      </c>
      <c r="O582" s="2" t="s">
        <v>5392</v>
      </c>
      <c r="P582" s="2" t="s">
        <v>37</v>
      </c>
      <c r="Q582" s="2" t="s">
        <v>5393</v>
      </c>
      <c r="R582" s="3" t="s">
        <v>5394</v>
      </c>
      <c r="T582" s="2" t="s">
        <v>697</v>
      </c>
      <c r="X582" s="2" t="n">
        <v>10353</v>
      </c>
      <c r="Y582" s="2" t="s">
        <v>678</v>
      </c>
      <c r="Z582" s="3" t="s">
        <v>5395</v>
      </c>
    </row>
    <row r="583" customFormat="false" ht="13.8" hidden="false" customHeight="false" outlineLevel="0" collapsed="false">
      <c r="A583" s="0" t="str">
        <f aca="false">CONCATENATE("__import__.res_partner_",C583)</f>
        <v>__import__.res_partner_20000010356</v>
      </c>
      <c r="B583" s="2" t="s">
        <v>5396</v>
      </c>
      <c r="C583" s="3" t="s">
        <v>5397</v>
      </c>
      <c r="D583" s="2" t="s">
        <v>5398</v>
      </c>
      <c r="F583" s="2" t="s">
        <v>30</v>
      </c>
      <c r="G583" s="2" t="s">
        <v>31</v>
      </c>
      <c r="H583" s="2" t="s">
        <v>32</v>
      </c>
      <c r="K583" s="2" t="s">
        <v>5399</v>
      </c>
      <c r="L583" s="3" t="s">
        <v>3475</v>
      </c>
      <c r="M583" s="2" t="s">
        <v>5400</v>
      </c>
      <c r="O583" s="2" t="s">
        <v>5401</v>
      </c>
      <c r="P583" s="2" t="s">
        <v>37</v>
      </c>
      <c r="Q583" s="2" t="s">
        <v>38</v>
      </c>
      <c r="R583" s="2" t="s">
        <v>5402</v>
      </c>
      <c r="T583" s="2" t="s">
        <v>40</v>
      </c>
      <c r="X583" s="2" t="n">
        <v>10356</v>
      </c>
      <c r="Y583" s="2" t="s">
        <v>678</v>
      </c>
      <c r="Z583" s="3" t="s">
        <v>5403</v>
      </c>
    </row>
    <row r="584" customFormat="false" ht="13.8" hidden="false" customHeight="false" outlineLevel="0" collapsed="false">
      <c r="A584" s="0" t="str">
        <f aca="false">CONCATENATE("__import__.res_partner_",C584)</f>
        <v>__import__.res_partner_20000010358</v>
      </c>
      <c r="B584" s="2" t="s">
        <v>5404</v>
      </c>
      <c r="C584" s="3" t="s">
        <v>5405</v>
      </c>
      <c r="D584" s="2" t="s">
        <v>5406</v>
      </c>
      <c r="F584" s="2" t="s">
        <v>30</v>
      </c>
      <c r="G584" s="2" t="s">
        <v>31</v>
      </c>
      <c r="H584" s="2" t="s">
        <v>32</v>
      </c>
      <c r="K584" s="2" t="s">
        <v>5407</v>
      </c>
      <c r="L584" s="3" t="s">
        <v>5408</v>
      </c>
      <c r="M584" s="2" t="s">
        <v>5409</v>
      </c>
      <c r="O584" s="2" t="s">
        <v>5410</v>
      </c>
      <c r="P584" s="2" t="s">
        <v>37</v>
      </c>
      <c r="Q584" s="2" t="s">
        <v>512</v>
      </c>
      <c r="R584" s="3" t="s">
        <v>5411</v>
      </c>
      <c r="T584" s="2" t="s">
        <v>97</v>
      </c>
      <c r="X584" s="2" t="n">
        <v>10358</v>
      </c>
      <c r="Y584" s="2" t="s">
        <v>5412</v>
      </c>
      <c r="Z584" s="3" t="s">
        <v>5413</v>
      </c>
      <c r="AA584" s="2" t="s">
        <v>5414</v>
      </c>
    </row>
    <row r="585" customFormat="false" ht="13.8" hidden="false" customHeight="false" outlineLevel="0" collapsed="false">
      <c r="A585" s="0" t="str">
        <f aca="false">CONCATENATE("__import__.res_partner_",C585)</f>
        <v>__import__.res_partner_20000010359</v>
      </c>
      <c r="B585" s="2" t="s">
        <v>5415</v>
      </c>
      <c r="C585" s="3" t="s">
        <v>5416</v>
      </c>
      <c r="D585" s="2" t="s">
        <v>5417</v>
      </c>
      <c r="F585" s="2" t="s">
        <v>30</v>
      </c>
      <c r="G585" s="2" t="s">
        <v>31</v>
      </c>
      <c r="H585" s="2" t="s">
        <v>32</v>
      </c>
      <c r="K585" s="2" t="s">
        <v>5418</v>
      </c>
      <c r="L585" s="3" t="s">
        <v>509</v>
      </c>
      <c r="M585" s="2" t="s">
        <v>5419</v>
      </c>
      <c r="N585" s="2" t="s">
        <v>5420</v>
      </c>
      <c r="O585" s="2" t="s">
        <v>5421</v>
      </c>
      <c r="P585" s="2" t="s">
        <v>37</v>
      </c>
      <c r="Q585" s="2" t="s">
        <v>5422</v>
      </c>
      <c r="R585" s="2" t="s">
        <v>5423</v>
      </c>
      <c r="T585" s="2" t="s">
        <v>76</v>
      </c>
      <c r="X585" s="2" t="n">
        <v>10359</v>
      </c>
      <c r="Y585" s="2" t="s">
        <v>5424</v>
      </c>
      <c r="Z585" s="3" t="s">
        <v>5425</v>
      </c>
    </row>
    <row r="586" customFormat="false" ht="13.8" hidden="false" customHeight="false" outlineLevel="0" collapsed="false">
      <c r="A586" s="0" t="str">
        <f aca="false">CONCATENATE("__import__.res_partner_",C586)</f>
        <v>__import__.res_partner_20000010360</v>
      </c>
      <c r="B586" s="2" t="s">
        <v>5426</v>
      </c>
      <c r="C586" s="3" t="s">
        <v>5427</v>
      </c>
      <c r="D586" s="2" t="s">
        <v>5428</v>
      </c>
      <c r="F586" s="2" t="s">
        <v>30</v>
      </c>
      <c r="G586" s="2" t="s">
        <v>31</v>
      </c>
      <c r="H586" s="2" t="s">
        <v>32</v>
      </c>
      <c r="K586" s="2" t="s">
        <v>5429</v>
      </c>
      <c r="L586" s="3" t="s">
        <v>5430</v>
      </c>
      <c r="M586" s="2" t="s">
        <v>5431</v>
      </c>
      <c r="O586" s="2" t="s">
        <v>5432</v>
      </c>
      <c r="P586" s="2" t="s">
        <v>37</v>
      </c>
      <c r="Q586" s="2" t="s">
        <v>5433</v>
      </c>
      <c r="T586" s="2" t="s">
        <v>97</v>
      </c>
      <c r="X586" s="2" t="n">
        <v>10360</v>
      </c>
      <c r="Y586" s="2" t="s">
        <v>5434</v>
      </c>
      <c r="Z586" s="3" t="s">
        <v>5435</v>
      </c>
      <c r="AA586" s="2" t="s">
        <v>5436</v>
      </c>
    </row>
    <row r="587" customFormat="false" ht="13.8" hidden="false" customHeight="false" outlineLevel="0" collapsed="false">
      <c r="A587" s="0" t="str">
        <f aca="false">CONCATENATE("__import__.res_partner_",C587)</f>
        <v>__import__.res_partner_20000010362</v>
      </c>
      <c r="B587" s="2" t="s">
        <v>5437</v>
      </c>
      <c r="C587" s="3" t="s">
        <v>5438</v>
      </c>
      <c r="D587" s="2" t="s">
        <v>5439</v>
      </c>
      <c r="F587" s="2" t="s">
        <v>30</v>
      </c>
      <c r="G587" s="2" t="s">
        <v>31</v>
      </c>
      <c r="H587" s="2" t="s">
        <v>32</v>
      </c>
      <c r="K587" s="2" t="s">
        <v>5440</v>
      </c>
      <c r="L587" s="3" t="s">
        <v>5441</v>
      </c>
      <c r="M587" s="2" t="s">
        <v>5442</v>
      </c>
      <c r="O587" s="2" t="s">
        <v>5443</v>
      </c>
      <c r="P587" s="2" t="s">
        <v>563</v>
      </c>
      <c r="Q587" s="2" t="s">
        <v>5444</v>
      </c>
      <c r="T587" s="2" t="s">
        <v>697</v>
      </c>
      <c r="X587" s="2" t="n">
        <v>10362</v>
      </c>
      <c r="Y587" s="2" t="s">
        <v>5445</v>
      </c>
      <c r="Z587" s="3" t="s">
        <v>5446</v>
      </c>
    </row>
    <row r="588" customFormat="false" ht="13.8" hidden="false" customHeight="false" outlineLevel="0" collapsed="false">
      <c r="A588" s="0" t="str">
        <f aca="false">CONCATENATE("__import__.res_partner_",C588)</f>
        <v>__import__.res_partner_20000010363</v>
      </c>
      <c r="B588" s="2" t="s">
        <v>5447</v>
      </c>
      <c r="C588" s="3" t="s">
        <v>5448</v>
      </c>
      <c r="D588" s="2" t="s">
        <v>5449</v>
      </c>
      <c r="F588" s="2" t="s">
        <v>30</v>
      </c>
      <c r="G588" s="2" t="s">
        <v>1664</v>
      </c>
      <c r="H588" s="2" t="s">
        <v>32</v>
      </c>
      <c r="K588" s="2" t="s">
        <v>5450</v>
      </c>
      <c r="L588" s="3" t="s">
        <v>3126</v>
      </c>
      <c r="M588" s="2" t="s">
        <v>5451</v>
      </c>
      <c r="O588" s="2" t="s">
        <v>3128</v>
      </c>
      <c r="P588" s="2" t="s">
        <v>37</v>
      </c>
      <c r="R588" s="3" t="s">
        <v>5452</v>
      </c>
      <c r="T588" s="2" t="s">
        <v>97</v>
      </c>
      <c r="X588" s="2" t="n">
        <v>10363</v>
      </c>
      <c r="Y588" s="2" t="s">
        <v>678</v>
      </c>
      <c r="Z588" s="3" t="s">
        <v>5453</v>
      </c>
    </row>
    <row r="589" customFormat="false" ht="13.8" hidden="false" customHeight="false" outlineLevel="0" collapsed="false">
      <c r="A589" s="0" t="str">
        <f aca="false">CONCATENATE("__import__.res_partner_",C589)</f>
        <v>__import__.res_partner_20000010371</v>
      </c>
      <c r="B589" s="2" t="s">
        <v>5454</v>
      </c>
      <c r="C589" s="3" t="s">
        <v>5455</v>
      </c>
      <c r="D589" s="2" t="s">
        <v>5456</v>
      </c>
      <c r="F589" s="2" t="s">
        <v>30</v>
      </c>
      <c r="G589" s="2" t="s">
        <v>31</v>
      </c>
      <c r="H589" s="2" t="s">
        <v>32</v>
      </c>
      <c r="K589" s="2" t="s">
        <v>5457</v>
      </c>
      <c r="L589" s="3" t="s">
        <v>5458</v>
      </c>
      <c r="M589" s="2" t="s">
        <v>5459</v>
      </c>
      <c r="O589" s="2" t="s">
        <v>5460</v>
      </c>
      <c r="P589" s="2" t="s">
        <v>37</v>
      </c>
      <c r="R589" s="2" t="s">
        <v>5461</v>
      </c>
      <c r="T589" s="2" t="s">
        <v>97</v>
      </c>
      <c r="X589" s="2" t="n">
        <v>10371</v>
      </c>
      <c r="Y589" s="2" t="s">
        <v>5462</v>
      </c>
      <c r="Z589" s="3" t="s">
        <v>5463</v>
      </c>
    </row>
    <row r="590" customFormat="false" ht="13.8" hidden="false" customHeight="false" outlineLevel="0" collapsed="false">
      <c r="A590" s="0" t="str">
        <f aca="false">CONCATENATE("__import__.res_partner_",C590)</f>
        <v>__import__.res_partner_20000010374</v>
      </c>
      <c r="B590" s="2" t="s">
        <v>5464</v>
      </c>
      <c r="C590" s="3" t="s">
        <v>5465</v>
      </c>
      <c r="D590" s="2" t="s">
        <v>5466</v>
      </c>
      <c r="F590" s="2" t="s">
        <v>30</v>
      </c>
      <c r="G590" s="2" t="s">
        <v>31</v>
      </c>
      <c r="H590" s="2" t="s">
        <v>32</v>
      </c>
      <c r="K590" s="2" t="s">
        <v>5467</v>
      </c>
      <c r="L590" s="3" t="s">
        <v>5468</v>
      </c>
      <c r="M590" s="2" t="s">
        <v>5469</v>
      </c>
      <c r="O590" s="2" t="s">
        <v>5470</v>
      </c>
      <c r="P590" s="2" t="s">
        <v>37</v>
      </c>
      <c r="T590" s="2" t="s">
        <v>697</v>
      </c>
      <c r="X590" s="2" t="n">
        <v>10374</v>
      </c>
      <c r="Y590" s="2" t="s">
        <v>5471</v>
      </c>
      <c r="Z590" s="3" t="s">
        <v>5472</v>
      </c>
    </row>
    <row r="591" customFormat="false" ht="13.8" hidden="false" customHeight="false" outlineLevel="0" collapsed="false">
      <c r="A591" s="0" t="str">
        <f aca="false">CONCATENATE("__import__.res_partner_",C591)</f>
        <v>__import__.res_partner_20000010375</v>
      </c>
      <c r="B591" s="2" t="s">
        <v>5473</v>
      </c>
      <c r="C591" s="3" t="s">
        <v>5474</v>
      </c>
      <c r="D591" s="2" t="s">
        <v>5475</v>
      </c>
      <c r="F591" s="2" t="s">
        <v>30</v>
      </c>
      <c r="G591" s="2" t="s">
        <v>31</v>
      </c>
      <c r="H591" s="2" t="s">
        <v>32</v>
      </c>
      <c r="K591" s="2" t="s">
        <v>5476</v>
      </c>
      <c r="L591" s="3" t="s">
        <v>345</v>
      </c>
      <c r="M591" s="2" t="s">
        <v>5477</v>
      </c>
      <c r="O591" s="2" t="s">
        <v>347</v>
      </c>
      <c r="P591" s="2" t="s">
        <v>37</v>
      </c>
      <c r="Q591" s="2" t="s">
        <v>5478</v>
      </c>
      <c r="R591" s="2" t="s">
        <v>5479</v>
      </c>
      <c r="T591" s="2" t="s">
        <v>76</v>
      </c>
      <c r="X591" s="2" t="n">
        <v>10375</v>
      </c>
      <c r="Y591" s="2" t="s">
        <v>678</v>
      </c>
      <c r="Z591" s="3" t="s">
        <v>5480</v>
      </c>
    </row>
    <row r="592" customFormat="false" ht="13.8" hidden="false" customHeight="false" outlineLevel="0" collapsed="false">
      <c r="A592" s="0" t="str">
        <f aca="false">CONCATENATE("__import__.res_partner_",C592)</f>
        <v>__import__.res_partner_20000010376</v>
      </c>
      <c r="B592" s="2" t="s">
        <v>5481</v>
      </c>
      <c r="C592" s="3" t="s">
        <v>5482</v>
      </c>
      <c r="D592" s="2" t="s">
        <v>5483</v>
      </c>
      <c r="F592" s="2" t="s">
        <v>30</v>
      </c>
      <c r="G592" s="2" t="s">
        <v>31</v>
      </c>
      <c r="H592" s="2" t="s">
        <v>32</v>
      </c>
      <c r="K592" s="2" t="s">
        <v>5484</v>
      </c>
      <c r="L592" s="3" t="s">
        <v>5485</v>
      </c>
      <c r="M592" s="2" t="s">
        <v>5486</v>
      </c>
      <c r="O592" s="2" t="s">
        <v>5487</v>
      </c>
      <c r="P592" s="2" t="s">
        <v>563</v>
      </c>
      <c r="Q592" s="2" t="s">
        <v>3108</v>
      </c>
      <c r="R592" s="2" t="s">
        <v>5488</v>
      </c>
      <c r="T592" s="2" t="s">
        <v>697</v>
      </c>
      <c r="X592" s="2" t="n">
        <v>10376</v>
      </c>
      <c r="Y592" s="2" t="s">
        <v>5489</v>
      </c>
      <c r="Z592" s="3" t="s">
        <v>5490</v>
      </c>
    </row>
    <row r="593" customFormat="false" ht="13.8" hidden="false" customHeight="false" outlineLevel="0" collapsed="false">
      <c r="A593" s="0" t="str">
        <f aca="false">CONCATENATE("__import__.res_partner_",C593)</f>
        <v>__import__.res_partner_20000010377</v>
      </c>
      <c r="B593" s="2" t="s">
        <v>5491</v>
      </c>
      <c r="C593" s="3" t="s">
        <v>5492</v>
      </c>
      <c r="D593" s="2" t="s">
        <v>5493</v>
      </c>
      <c r="F593" s="2" t="s">
        <v>30</v>
      </c>
      <c r="G593" s="2" t="s">
        <v>31</v>
      </c>
      <c r="H593" s="2" t="s">
        <v>32</v>
      </c>
      <c r="K593" s="2" t="s">
        <v>5494</v>
      </c>
      <c r="L593" s="3" t="s">
        <v>5495</v>
      </c>
      <c r="M593" s="2" t="s">
        <v>5496</v>
      </c>
      <c r="N593" s="2" t="s">
        <v>5497</v>
      </c>
      <c r="O593" s="2" t="s">
        <v>5498</v>
      </c>
      <c r="P593" s="2" t="s">
        <v>37</v>
      </c>
      <c r="Q593" s="2" t="s">
        <v>5499</v>
      </c>
      <c r="R593" s="2" t="s">
        <v>5500</v>
      </c>
      <c r="T593" s="2" t="s">
        <v>697</v>
      </c>
      <c r="X593" s="2" t="n">
        <v>10377</v>
      </c>
      <c r="Y593" s="2" t="s">
        <v>5501</v>
      </c>
      <c r="Z593" s="3" t="s">
        <v>5502</v>
      </c>
    </row>
    <row r="594" customFormat="false" ht="13.8" hidden="false" customHeight="false" outlineLevel="0" collapsed="false">
      <c r="A594" s="0" t="str">
        <f aca="false">CONCATENATE("__import__.res_partner_",C594)</f>
        <v>__import__.res_partner_20000010378</v>
      </c>
      <c r="B594" s="2" t="s">
        <v>5503</v>
      </c>
      <c r="C594" s="3" t="s">
        <v>5504</v>
      </c>
      <c r="D594" s="2" t="s">
        <v>5505</v>
      </c>
      <c r="F594" s="2" t="s">
        <v>30</v>
      </c>
      <c r="G594" s="2" t="s">
        <v>31</v>
      </c>
      <c r="H594" s="2" t="s">
        <v>32</v>
      </c>
      <c r="K594" s="2" t="s">
        <v>5506</v>
      </c>
      <c r="L594" s="3" t="s">
        <v>2868</v>
      </c>
      <c r="M594" s="2" t="s">
        <v>5507</v>
      </c>
      <c r="O594" s="2" t="s">
        <v>2754</v>
      </c>
      <c r="P594" s="2" t="s">
        <v>37</v>
      </c>
      <c r="Q594" s="2" t="s">
        <v>5508</v>
      </c>
      <c r="R594" s="2" t="s">
        <v>5509</v>
      </c>
      <c r="T594" s="2" t="s">
        <v>697</v>
      </c>
      <c r="X594" s="2" t="n">
        <v>10378</v>
      </c>
      <c r="Y594" s="2" t="s">
        <v>678</v>
      </c>
      <c r="Z594" s="3" t="s">
        <v>5510</v>
      </c>
    </row>
    <row r="595" customFormat="false" ht="13.8" hidden="false" customHeight="false" outlineLevel="0" collapsed="false">
      <c r="A595" s="0" t="str">
        <f aca="false">CONCATENATE("__import__.res_partner_",C595)</f>
        <v>__import__.res_partner_20000010386</v>
      </c>
      <c r="B595" s="2" t="s">
        <v>5511</v>
      </c>
      <c r="C595" s="3" t="s">
        <v>5512</v>
      </c>
      <c r="D595" s="2" t="s">
        <v>5513</v>
      </c>
      <c r="F595" s="2" t="s">
        <v>30</v>
      </c>
      <c r="G595" s="2" t="s">
        <v>31</v>
      </c>
      <c r="H595" s="2" t="s">
        <v>32</v>
      </c>
      <c r="K595" s="2" t="s">
        <v>5514</v>
      </c>
      <c r="L595" s="3" t="s">
        <v>5515</v>
      </c>
      <c r="M595" s="2" t="s">
        <v>5516</v>
      </c>
      <c r="O595" s="2" t="s">
        <v>2754</v>
      </c>
      <c r="P595" s="2" t="s">
        <v>37</v>
      </c>
      <c r="T595" s="2" t="s">
        <v>697</v>
      </c>
      <c r="U595" s="2" t="s">
        <v>5517</v>
      </c>
      <c r="V595" s="2" t="s">
        <v>4271</v>
      </c>
      <c r="W595" s="2" t="s">
        <v>5518</v>
      </c>
      <c r="X595" s="2" t="n">
        <v>10386</v>
      </c>
      <c r="Y595" s="2" t="s">
        <v>678</v>
      </c>
      <c r="Z595" s="3" t="s">
        <v>5519</v>
      </c>
    </row>
    <row r="596" customFormat="false" ht="13.8" hidden="false" customHeight="false" outlineLevel="0" collapsed="false">
      <c r="A596" s="0" t="str">
        <f aca="false">CONCATENATE("__import__.res_partner_",C596)</f>
        <v>__import__.res_partner_20000010388</v>
      </c>
      <c r="B596" s="2" t="s">
        <v>5520</v>
      </c>
      <c r="C596" s="3" t="s">
        <v>5521</v>
      </c>
      <c r="D596" s="2" t="s">
        <v>5522</v>
      </c>
      <c r="F596" s="2" t="s">
        <v>30</v>
      </c>
      <c r="G596" s="2" t="s">
        <v>31</v>
      </c>
      <c r="H596" s="2" t="s">
        <v>32</v>
      </c>
      <c r="K596" s="2" t="s">
        <v>5523</v>
      </c>
      <c r="L596" s="3" t="s">
        <v>5524</v>
      </c>
      <c r="M596" s="2" t="s">
        <v>5525</v>
      </c>
      <c r="O596" s="2" t="s">
        <v>5526</v>
      </c>
      <c r="P596" s="2" t="s">
        <v>5527</v>
      </c>
      <c r="Q596" s="2" t="s">
        <v>5528</v>
      </c>
      <c r="T596" s="2" t="s">
        <v>697</v>
      </c>
      <c r="X596" s="2" t="n">
        <v>10388</v>
      </c>
      <c r="Y596" s="2" t="s">
        <v>5529</v>
      </c>
      <c r="Z596" s="3" t="s">
        <v>5530</v>
      </c>
    </row>
    <row r="597" customFormat="false" ht="28.5" hidden="false" customHeight="false" outlineLevel="0" collapsed="false">
      <c r="A597" s="0" t="str">
        <f aca="false">CONCATENATE("__import__.res_partner_",C597)</f>
        <v>__import__.res_partner_20000010389</v>
      </c>
      <c r="B597" s="2" t="s">
        <v>5531</v>
      </c>
      <c r="C597" s="3" t="s">
        <v>5532</v>
      </c>
      <c r="D597" s="2" t="s">
        <v>5533</v>
      </c>
      <c r="F597" s="2" t="s">
        <v>30</v>
      </c>
      <c r="G597" s="2" t="s">
        <v>31</v>
      </c>
      <c r="H597" s="2" t="s">
        <v>32</v>
      </c>
      <c r="K597" s="2" t="s">
        <v>5534</v>
      </c>
      <c r="L597" s="3" t="s">
        <v>5535</v>
      </c>
      <c r="M597" s="2" t="s">
        <v>5536</v>
      </c>
      <c r="O597" s="2" t="s">
        <v>2721</v>
      </c>
      <c r="P597" s="2" t="s">
        <v>37</v>
      </c>
      <c r="R597" s="3" t="s">
        <v>5537</v>
      </c>
      <c r="T597" s="2" t="s">
        <v>697</v>
      </c>
      <c r="X597" s="2" t="n">
        <v>10389</v>
      </c>
      <c r="Y597" s="2" t="s">
        <v>5538</v>
      </c>
      <c r="Z597" s="3" t="s">
        <v>5539</v>
      </c>
      <c r="AA597" s="4" t="s">
        <v>5540</v>
      </c>
    </row>
    <row r="598" customFormat="false" ht="13.8" hidden="false" customHeight="false" outlineLevel="0" collapsed="false">
      <c r="A598" s="0" t="str">
        <f aca="false">CONCATENATE("__import__.res_partner_",C598)</f>
        <v>__import__.res_partner_20000010390</v>
      </c>
      <c r="B598" s="2" t="s">
        <v>5541</v>
      </c>
      <c r="C598" s="3" t="s">
        <v>5542</v>
      </c>
      <c r="D598" s="2" t="s">
        <v>5543</v>
      </c>
      <c r="F598" s="2" t="s">
        <v>30</v>
      </c>
      <c r="G598" s="2" t="s">
        <v>1664</v>
      </c>
      <c r="H598" s="2" t="s">
        <v>32</v>
      </c>
      <c r="K598" s="2" t="s">
        <v>5544</v>
      </c>
      <c r="L598" s="3" t="s">
        <v>5545</v>
      </c>
      <c r="M598" s="2" t="s">
        <v>5546</v>
      </c>
      <c r="O598" s="2" t="s">
        <v>5547</v>
      </c>
      <c r="P598" s="2" t="s">
        <v>37</v>
      </c>
      <c r="Q598" s="2" t="s">
        <v>38</v>
      </c>
      <c r="R598" s="3" t="s">
        <v>5548</v>
      </c>
      <c r="T598" s="2" t="s">
        <v>697</v>
      </c>
      <c r="X598" s="2" t="n">
        <v>10390</v>
      </c>
      <c r="Y598" s="2" t="s">
        <v>5549</v>
      </c>
      <c r="Z598" s="3" t="s">
        <v>5550</v>
      </c>
    </row>
    <row r="599" customFormat="false" ht="13.8" hidden="false" customHeight="false" outlineLevel="0" collapsed="false">
      <c r="A599" s="0" t="str">
        <f aca="false">CONCATENATE("__import__.res_partner_",C599)</f>
        <v>__import__.res_partner_20000010391</v>
      </c>
      <c r="B599" s="2" t="s">
        <v>5551</v>
      </c>
      <c r="C599" s="3" t="s">
        <v>5552</v>
      </c>
      <c r="D599" s="2" t="s">
        <v>5553</v>
      </c>
      <c r="F599" s="2" t="s">
        <v>30</v>
      </c>
      <c r="G599" s="2" t="s">
        <v>1664</v>
      </c>
      <c r="H599" s="2" t="s">
        <v>32</v>
      </c>
      <c r="K599" s="2" t="s">
        <v>5554</v>
      </c>
      <c r="L599" s="3" t="s">
        <v>5555</v>
      </c>
      <c r="M599" s="2" t="s">
        <v>5556</v>
      </c>
      <c r="O599" s="2" t="s">
        <v>705</v>
      </c>
      <c r="P599" s="2" t="s">
        <v>37</v>
      </c>
      <c r="Q599" s="2" t="s">
        <v>5557</v>
      </c>
      <c r="R599" s="3" t="s">
        <v>5558</v>
      </c>
      <c r="T599" s="2" t="s">
        <v>97</v>
      </c>
      <c r="X599" s="2" t="n">
        <v>10391</v>
      </c>
      <c r="Y599" s="2" t="s">
        <v>5559</v>
      </c>
      <c r="Z599" s="3" t="s">
        <v>5560</v>
      </c>
    </row>
    <row r="600" customFormat="false" ht="13.8" hidden="false" customHeight="false" outlineLevel="0" collapsed="false">
      <c r="A600" s="0" t="str">
        <f aca="false">CONCATENATE("__import__.res_partner_",C600)</f>
        <v>__import__.res_partner_20000010392</v>
      </c>
      <c r="B600" s="2" t="s">
        <v>5561</v>
      </c>
      <c r="C600" s="3" t="s">
        <v>5562</v>
      </c>
      <c r="D600" s="2" t="s">
        <v>5563</v>
      </c>
      <c r="F600" s="2" t="s">
        <v>30</v>
      </c>
      <c r="G600" s="2" t="s">
        <v>1664</v>
      </c>
      <c r="H600" s="2" t="s">
        <v>32</v>
      </c>
      <c r="K600" s="2" t="s">
        <v>5564</v>
      </c>
      <c r="L600" s="3" t="s">
        <v>289</v>
      </c>
      <c r="M600" s="2" t="s">
        <v>5565</v>
      </c>
      <c r="O600" s="2" t="s">
        <v>49</v>
      </c>
      <c r="P600" s="2" t="s">
        <v>37</v>
      </c>
      <c r="Q600" s="2" t="s">
        <v>5566</v>
      </c>
      <c r="T600" s="2" t="s">
        <v>5567</v>
      </c>
      <c r="X600" s="2" t="n">
        <v>10392</v>
      </c>
      <c r="Y600" s="2" t="s">
        <v>5568</v>
      </c>
      <c r="Z600" s="3" t="s">
        <v>5569</v>
      </c>
    </row>
    <row r="601" customFormat="false" ht="13.8" hidden="false" customHeight="false" outlineLevel="0" collapsed="false">
      <c r="A601" s="0" t="str">
        <f aca="false">CONCATENATE("__import__.res_partner_",C601)</f>
        <v>__import__.res_partner_20000010393</v>
      </c>
      <c r="B601" s="2" t="s">
        <v>5570</v>
      </c>
      <c r="C601" s="3" t="s">
        <v>5571</v>
      </c>
      <c r="D601" s="2" t="s">
        <v>5572</v>
      </c>
      <c r="F601" s="2" t="s">
        <v>30</v>
      </c>
      <c r="G601" s="2" t="s">
        <v>1664</v>
      </c>
      <c r="H601" s="2" t="s">
        <v>32</v>
      </c>
      <c r="K601" s="2" t="s">
        <v>5573</v>
      </c>
      <c r="L601" s="3" t="s">
        <v>3257</v>
      </c>
      <c r="M601" s="2" t="s">
        <v>5574</v>
      </c>
      <c r="O601" s="2" t="s">
        <v>2881</v>
      </c>
      <c r="P601" s="2" t="s">
        <v>37</v>
      </c>
      <c r="T601" s="2" t="s">
        <v>5567</v>
      </c>
      <c r="X601" s="2" t="n">
        <v>10393</v>
      </c>
      <c r="Y601" s="2" t="s">
        <v>5575</v>
      </c>
      <c r="Z601" s="3" t="s">
        <v>5576</v>
      </c>
    </row>
    <row r="602" customFormat="false" ht="13.8" hidden="false" customHeight="false" outlineLevel="0" collapsed="false">
      <c r="A602" s="0" t="str">
        <f aca="false">CONCATENATE("__import__.res_partner_",C602)</f>
        <v>__import__.res_partner_20000010394</v>
      </c>
      <c r="B602" s="2" t="s">
        <v>5577</v>
      </c>
      <c r="C602" s="3" t="s">
        <v>5578</v>
      </c>
      <c r="D602" s="2" t="s">
        <v>5579</v>
      </c>
      <c r="F602" s="2" t="s">
        <v>30</v>
      </c>
      <c r="G602" s="2" t="s">
        <v>1664</v>
      </c>
      <c r="H602" s="2" t="s">
        <v>32</v>
      </c>
      <c r="K602" s="2" t="s">
        <v>5580</v>
      </c>
      <c r="P602" s="2" t="s">
        <v>37</v>
      </c>
      <c r="T602" s="2" t="s">
        <v>76</v>
      </c>
      <c r="X602" s="2" t="n">
        <v>10394</v>
      </c>
      <c r="Y602" s="2" t="s">
        <v>678</v>
      </c>
      <c r="Z602" s="3" t="s">
        <v>5581</v>
      </c>
    </row>
    <row r="603" customFormat="false" ht="13.8" hidden="false" customHeight="false" outlineLevel="0" collapsed="false">
      <c r="A603" s="0" t="str">
        <f aca="false">CONCATENATE("__import__.res_partner_",C603)</f>
        <v>__import__.res_partner_20000010395</v>
      </c>
      <c r="B603" s="2" t="s">
        <v>5582</v>
      </c>
      <c r="C603" s="3" t="s">
        <v>5583</v>
      </c>
      <c r="D603" s="2" t="s">
        <v>5584</v>
      </c>
      <c r="F603" s="2" t="s">
        <v>30</v>
      </c>
      <c r="G603" s="2" t="s">
        <v>31</v>
      </c>
      <c r="H603" s="2" t="s">
        <v>32</v>
      </c>
      <c r="K603" s="2" t="s">
        <v>5585</v>
      </c>
      <c r="L603" s="3" t="s">
        <v>4943</v>
      </c>
      <c r="M603" s="2" t="s">
        <v>5586</v>
      </c>
      <c r="O603" s="2" t="s">
        <v>2754</v>
      </c>
      <c r="P603" s="2" t="s">
        <v>37</v>
      </c>
      <c r="R603" s="3" t="s">
        <v>5587</v>
      </c>
      <c r="T603" s="2" t="s">
        <v>76</v>
      </c>
      <c r="X603" s="2" t="n">
        <v>10395</v>
      </c>
      <c r="Y603" s="2" t="s">
        <v>5588</v>
      </c>
      <c r="Z603" s="3" t="s">
        <v>5589</v>
      </c>
    </row>
    <row r="604" customFormat="false" ht="13.8" hidden="false" customHeight="false" outlineLevel="0" collapsed="false">
      <c r="A604" s="0" t="str">
        <f aca="false">CONCATENATE("__import__.res_partner_",C604)</f>
        <v>__import__.res_partner_20000010396</v>
      </c>
      <c r="B604" s="2" t="s">
        <v>5590</v>
      </c>
      <c r="C604" s="3" t="s">
        <v>5591</v>
      </c>
      <c r="D604" s="2" t="s">
        <v>5592</v>
      </c>
      <c r="F604" s="2" t="s">
        <v>30</v>
      </c>
      <c r="G604" s="2" t="s">
        <v>31</v>
      </c>
      <c r="H604" s="2" t="s">
        <v>32</v>
      </c>
      <c r="K604" s="2" t="s">
        <v>5593</v>
      </c>
      <c r="L604" s="3" t="s">
        <v>5594</v>
      </c>
      <c r="M604" s="2" t="s">
        <v>5595</v>
      </c>
      <c r="O604" s="2" t="s">
        <v>49</v>
      </c>
      <c r="P604" s="2" t="s">
        <v>37</v>
      </c>
      <c r="Q604" s="2" t="s">
        <v>5596</v>
      </c>
      <c r="T604" s="2" t="s">
        <v>108</v>
      </c>
      <c r="X604" s="2" t="n">
        <v>10396</v>
      </c>
      <c r="Y604" s="2" t="s">
        <v>678</v>
      </c>
      <c r="Z604" s="3" t="s">
        <v>5597</v>
      </c>
    </row>
    <row r="605" customFormat="false" ht="13.8" hidden="false" customHeight="false" outlineLevel="0" collapsed="false">
      <c r="A605" s="0" t="str">
        <f aca="false">CONCATENATE("__import__.res_partner_",C605)</f>
        <v>__import__.res_partner_20000010397</v>
      </c>
      <c r="B605" s="2" t="s">
        <v>5598</v>
      </c>
      <c r="C605" s="3" t="s">
        <v>5599</v>
      </c>
      <c r="D605" s="2" t="s">
        <v>5600</v>
      </c>
      <c r="F605" s="3" t="s">
        <v>557</v>
      </c>
      <c r="G605" s="2" t="s">
        <v>1664</v>
      </c>
      <c r="H605" s="2" t="s">
        <v>32</v>
      </c>
      <c r="K605" s="2" t="s">
        <v>5601</v>
      </c>
      <c r="L605" s="3" t="s">
        <v>3257</v>
      </c>
      <c r="M605" s="2" t="s">
        <v>5602</v>
      </c>
      <c r="O605" s="2" t="s">
        <v>2881</v>
      </c>
      <c r="P605" s="2" t="s">
        <v>37</v>
      </c>
      <c r="T605" s="2" t="s">
        <v>697</v>
      </c>
      <c r="X605" s="2" t="n">
        <v>10397</v>
      </c>
      <c r="Y605" s="2" t="s">
        <v>5603</v>
      </c>
      <c r="Z605" s="3" t="s">
        <v>5604</v>
      </c>
    </row>
    <row r="606" customFormat="false" ht="13.8" hidden="false" customHeight="false" outlineLevel="0" collapsed="false">
      <c r="A606" s="0" t="str">
        <f aca="false">CONCATENATE("__import__.res_partner_",C606)</f>
        <v>__import__.res_partner_20000010398</v>
      </c>
      <c r="B606" s="2" t="s">
        <v>5605</v>
      </c>
      <c r="C606" s="3" t="s">
        <v>5606</v>
      </c>
      <c r="D606" s="2" t="s">
        <v>5607</v>
      </c>
      <c r="F606" s="3" t="s">
        <v>557</v>
      </c>
      <c r="G606" s="2" t="s">
        <v>1664</v>
      </c>
      <c r="H606" s="2" t="s">
        <v>32</v>
      </c>
      <c r="K606" s="2" t="s">
        <v>5608</v>
      </c>
      <c r="L606" s="3" t="s">
        <v>5609</v>
      </c>
      <c r="M606" s="2" t="s">
        <v>5610</v>
      </c>
      <c r="O606" s="2" t="s">
        <v>4994</v>
      </c>
      <c r="P606" s="2" t="s">
        <v>37</v>
      </c>
      <c r="T606" s="2" t="s">
        <v>697</v>
      </c>
      <c r="X606" s="2" t="n">
        <v>10398</v>
      </c>
      <c r="Y606" s="2" t="s">
        <v>5611</v>
      </c>
      <c r="Z606" s="3" t="s">
        <v>5612</v>
      </c>
    </row>
    <row r="607" customFormat="false" ht="13.8" hidden="false" customHeight="false" outlineLevel="0" collapsed="false">
      <c r="A607" s="0" t="str">
        <f aca="false">CONCATENATE("__import__.res_partner_",C607)</f>
        <v>__import__.res_partner_20000010399</v>
      </c>
      <c r="B607" s="2" t="s">
        <v>5613</v>
      </c>
      <c r="C607" s="3" t="s">
        <v>5614</v>
      </c>
      <c r="D607" s="2" t="s">
        <v>5615</v>
      </c>
      <c r="F607" s="3" t="s">
        <v>557</v>
      </c>
      <c r="G607" s="2" t="s">
        <v>1664</v>
      </c>
      <c r="H607" s="2" t="s">
        <v>32</v>
      </c>
      <c r="K607" s="2" t="s">
        <v>5616</v>
      </c>
      <c r="L607" s="3" t="s">
        <v>5617</v>
      </c>
      <c r="M607" s="2" t="s">
        <v>5618</v>
      </c>
      <c r="O607" s="2" t="s">
        <v>4002</v>
      </c>
      <c r="P607" s="2" t="s">
        <v>37</v>
      </c>
      <c r="T607" s="2" t="s">
        <v>697</v>
      </c>
      <c r="X607" s="2" t="n">
        <v>10399</v>
      </c>
      <c r="Y607" s="2" t="s">
        <v>5619</v>
      </c>
      <c r="Z607" s="3" t="s">
        <v>5620</v>
      </c>
    </row>
    <row r="608" customFormat="false" ht="13.8" hidden="false" customHeight="false" outlineLevel="0" collapsed="false">
      <c r="A608" s="0" t="str">
        <f aca="false">CONCATENATE("__import__.res_partner_",C608)</f>
        <v>__import__.res_partner_20000010400</v>
      </c>
      <c r="B608" s="2" t="s">
        <v>5621</v>
      </c>
      <c r="C608" s="3" t="s">
        <v>5622</v>
      </c>
      <c r="D608" s="2" t="s">
        <v>5623</v>
      </c>
      <c r="F608" s="3" t="s">
        <v>557</v>
      </c>
      <c r="G608" s="2" t="s">
        <v>1664</v>
      </c>
      <c r="H608" s="2" t="s">
        <v>32</v>
      </c>
      <c r="K608" s="2" t="s">
        <v>5624</v>
      </c>
      <c r="L608" s="3" t="s">
        <v>2890</v>
      </c>
      <c r="M608" s="2" t="s">
        <v>5625</v>
      </c>
      <c r="O608" s="2" t="s">
        <v>2754</v>
      </c>
      <c r="P608" s="2" t="s">
        <v>37</v>
      </c>
      <c r="T608" s="2" t="s">
        <v>697</v>
      </c>
      <c r="X608" s="2" t="n">
        <v>10400</v>
      </c>
      <c r="Y608" s="2" t="s">
        <v>5626</v>
      </c>
      <c r="Z608" s="3" t="s">
        <v>5627</v>
      </c>
    </row>
    <row r="609" customFormat="false" ht="13.8" hidden="false" customHeight="false" outlineLevel="0" collapsed="false">
      <c r="A609" s="0" t="str">
        <f aca="false">CONCATENATE("__import__.res_partner_",C609)</f>
        <v>__import__.res_partner_20000010401</v>
      </c>
      <c r="B609" s="2" t="s">
        <v>5628</v>
      </c>
      <c r="C609" s="3" t="s">
        <v>5629</v>
      </c>
      <c r="D609" s="2" t="s">
        <v>5630</v>
      </c>
      <c r="F609" s="3" t="s">
        <v>557</v>
      </c>
      <c r="G609" s="2" t="s">
        <v>1664</v>
      </c>
      <c r="H609" s="2" t="s">
        <v>32</v>
      </c>
      <c r="K609" s="2" t="s">
        <v>5631</v>
      </c>
      <c r="M609" s="2" t="s">
        <v>5632</v>
      </c>
      <c r="O609" s="2" t="s">
        <v>3645</v>
      </c>
      <c r="P609" s="2" t="s">
        <v>37</v>
      </c>
      <c r="Q609" s="2" t="s">
        <v>5633</v>
      </c>
      <c r="R609" s="3" t="s">
        <v>5634</v>
      </c>
      <c r="T609" s="2" t="s">
        <v>697</v>
      </c>
      <c r="W609" s="2" t="s">
        <v>5635</v>
      </c>
      <c r="X609" s="2" t="n">
        <v>10401</v>
      </c>
      <c r="Y609" s="2" t="s">
        <v>5636</v>
      </c>
      <c r="Z609" s="3" t="s">
        <v>5637</v>
      </c>
    </row>
    <row r="610" customFormat="false" ht="13.8" hidden="false" customHeight="false" outlineLevel="0" collapsed="false">
      <c r="A610" s="0" t="str">
        <f aca="false">CONCATENATE("__import__.res_partner_",C610)</f>
        <v>__import__.res_partner_20000010402</v>
      </c>
      <c r="B610" s="2" t="s">
        <v>5638</v>
      </c>
      <c r="C610" s="3" t="s">
        <v>5639</v>
      </c>
      <c r="D610" s="2" t="s">
        <v>5640</v>
      </c>
      <c r="F610" s="3" t="s">
        <v>557</v>
      </c>
      <c r="G610" s="2" t="s">
        <v>1664</v>
      </c>
      <c r="H610" s="2" t="s">
        <v>32</v>
      </c>
      <c r="K610" s="2" t="s">
        <v>5641</v>
      </c>
      <c r="L610" s="3" t="s">
        <v>5642</v>
      </c>
      <c r="M610" s="2" t="s">
        <v>5643</v>
      </c>
      <c r="O610" s="2" t="s">
        <v>5644</v>
      </c>
      <c r="P610" s="2" t="s">
        <v>37</v>
      </c>
      <c r="T610" s="2" t="s">
        <v>697</v>
      </c>
      <c r="X610" s="2" t="n">
        <v>10402</v>
      </c>
      <c r="Y610" s="2" t="s">
        <v>678</v>
      </c>
      <c r="Z610" s="3" t="s">
        <v>5645</v>
      </c>
    </row>
    <row r="611" customFormat="false" ht="13.8" hidden="false" customHeight="false" outlineLevel="0" collapsed="false">
      <c r="A611" s="0" t="str">
        <f aca="false">CONCATENATE("__import__.res_partner_",C611)</f>
        <v>__import__.res_partner_20000010414</v>
      </c>
      <c r="B611" s="2" t="s">
        <v>5646</v>
      </c>
      <c r="C611" s="3" t="s">
        <v>5647</v>
      </c>
      <c r="D611" s="2" t="s">
        <v>5648</v>
      </c>
      <c r="F611" s="2" t="s">
        <v>30</v>
      </c>
      <c r="G611" s="2" t="s">
        <v>1664</v>
      </c>
      <c r="H611" s="2" t="s">
        <v>32</v>
      </c>
      <c r="K611" s="2" t="s">
        <v>5649</v>
      </c>
      <c r="L611" s="3" t="s">
        <v>5650</v>
      </c>
      <c r="M611" s="2" t="s">
        <v>5651</v>
      </c>
      <c r="O611" s="2" t="s">
        <v>4002</v>
      </c>
      <c r="P611" s="2" t="s">
        <v>37</v>
      </c>
      <c r="R611" s="2" t="s">
        <v>5652</v>
      </c>
      <c r="T611" s="2" t="s">
        <v>697</v>
      </c>
      <c r="V611" s="2" t="s">
        <v>5653</v>
      </c>
      <c r="X611" s="2" t="n">
        <v>10414</v>
      </c>
      <c r="Y611" s="2" t="s">
        <v>678</v>
      </c>
      <c r="Z611" s="3" t="s">
        <v>5654</v>
      </c>
    </row>
    <row r="612" customFormat="false" ht="13.8" hidden="false" customHeight="false" outlineLevel="0" collapsed="false">
      <c r="A612" s="0" t="str">
        <f aca="false">CONCATENATE("__import__.res_partner_",C612)</f>
        <v>__import__.res_partner_20000010415</v>
      </c>
      <c r="B612" s="2" t="s">
        <v>5655</v>
      </c>
      <c r="C612" s="3" t="s">
        <v>5656</v>
      </c>
      <c r="D612" s="2" t="s">
        <v>5657</v>
      </c>
      <c r="F612" s="2" t="s">
        <v>30</v>
      </c>
      <c r="G612" s="2" t="s">
        <v>1664</v>
      </c>
      <c r="H612" s="2" t="s">
        <v>32</v>
      </c>
      <c r="K612" s="2" t="s">
        <v>5658</v>
      </c>
      <c r="L612" s="3" t="s">
        <v>440</v>
      </c>
      <c r="M612" s="2" t="s">
        <v>5659</v>
      </c>
      <c r="O612" s="2" t="s">
        <v>49</v>
      </c>
      <c r="P612" s="2" t="s">
        <v>37</v>
      </c>
      <c r="T612" s="2" t="s">
        <v>108</v>
      </c>
      <c r="X612" s="2" t="n">
        <v>10415</v>
      </c>
      <c r="Y612" s="2" t="s">
        <v>5660</v>
      </c>
      <c r="Z612" s="3" t="s">
        <v>5661</v>
      </c>
    </row>
    <row r="613" customFormat="false" ht="13.8" hidden="false" customHeight="false" outlineLevel="0" collapsed="false">
      <c r="A613" s="0" t="str">
        <f aca="false">CONCATENATE("__import__.res_partner_",C613)</f>
        <v>__import__.res_partner_20000010416</v>
      </c>
      <c r="B613" s="2" t="s">
        <v>5662</v>
      </c>
      <c r="C613" s="3" t="s">
        <v>5663</v>
      </c>
      <c r="D613" s="2" t="s">
        <v>5664</v>
      </c>
      <c r="F613" s="2" t="s">
        <v>30</v>
      </c>
      <c r="G613" s="2" t="s">
        <v>1664</v>
      </c>
      <c r="H613" s="2" t="s">
        <v>32</v>
      </c>
      <c r="K613" s="2" t="s">
        <v>5665</v>
      </c>
      <c r="L613" s="3" t="s">
        <v>5609</v>
      </c>
      <c r="M613" s="2" t="s">
        <v>5666</v>
      </c>
      <c r="O613" s="2" t="s">
        <v>4994</v>
      </c>
      <c r="P613" s="2" t="s">
        <v>37</v>
      </c>
      <c r="R613" s="3" t="s">
        <v>5667</v>
      </c>
      <c r="T613" s="2" t="s">
        <v>76</v>
      </c>
      <c r="X613" s="2" t="n">
        <v>10416</v>
      </c>
      <c r="Y613" s="2" t="s">
        <v>5668</v>
      </c>
      <c r="Z613" s="3" t="s">
        <v>5669</v>
      </c>
    </row>
    <row r="614" customFormat="false" ht="13.8" hidden="false" customHeight="false" outlineLevel="0" collapsed="false">
      <c r="A614" s="0" t="str">
        <f aca="false">CONCATENATE("__import__.res_partner_",C614)</f>
        <v>__import__.res_partner_20000010417</v>
      </c>
      <c r="B614" s="2" t="s">
        <v>5670</v>
      </c>
      <c r="C614" s="3" t="s">
        <v>5671</v>
      </c>
      <c r="D614" s="2" t="s">
        <v>5672</v>
      </c>
      <c r="F614" s="2" t="s">
        <v>30</v>
      </c>
      <c r="G614" s="2" t="s">
        <v>1664</v>
      </c>
      <c r="H614" s="2" t="s">
        <v>32</v>
      </c>
      <c r="K614" s="2" t="s">
        <v>5673</v>
      </c>
      <c r="L614" s="3" t="s">
        <v>2799</v>
      </c>
      <c r="M614" s="2" t="s">
        <v>5674</v>
      </c>
      <c r="O614" s="2" t="s">
        <v>2801</v>
      </c>
      <c r="P614" s="2" t="s">
        <v>37</v>
      </c>
      <c r="Q614" s="2" t="s">
        <v>5675</v>
      </c>
      <c r="R614" s="2" t="s">
        <v>5676</v>
      </c>
      <c r="T614" s="2" t="s">
        <v>108</v>
      </c>
      <c r="X614" s="2" t="n">
        <v>10417</v>
      </c>
      <c r="Y614" s="2" t="s">
        <v>5677</v>
      </c>
      <c r="Z614" s="3" t="s">
        <v>5678</v>
      </c>
    </row>
    <row r="615" customFormat="false" ht="13.8" hidden="false" customHeight="false" outlineLevel="0" collapsed="false">
      <c r="A615" s="0" t="str">
        <f aca="false">CONCATENATE("__import__.res_partner_",C615)</f>
        <v>__import__.res_partner_20000010418</v>
      </c>
      <c r="B615" s="2" t="s">
        <v>5679</v>
      </c>
      <c r="C615" s="3" t="s">
        <v>5680</v>
      </c>
      <c r="D615" s="2" t="s">
        <v>5681</v>
      </c>
      <c r="F615" s="2" t="s">
        <v>30</v>
      </c>
      <c r="G615" s="2" t="s">
        <v>1664</v>
      </c>
      <c r="H615" s="2" t="s">
        <v>32</v>
      </c>
      <c r="K615" s="2" t="s">
        <v>5682</v>
      </c>
      <c r="L615" s="3" t="s">
        <v>2771</v>
      </c>
      <c r="M615" s="2" t="s">
        <v>5683</v>
      </c>
      <c r="O615" s="2" t="s">
        <v>2754</v>
      </c>
      <c r="P615" s="2" t="s">
        <v>37</v>
      </c>
      <c r="R615" s="2" t="s">
        <v>5684</v>
      </c>
      <c r="T615" s="2" t="s">
        <v>697</v>
      </c>
      <c r="X615" s="2" t="n">
        <v>10418</v>
      </c>
      <c r="Y615" s="2" t="s">
        <v>678</v>
      </c>
      <c r="Z615" s="3" t="s">
        <v>5685</v>
      </c>
    </row>
    <row r="616" customFormat="false" ht="13.8" hidden="false" customHeight="false" outlineLevel="0" collapsed="false">
      <c r="A616" s="0" t="str">
        <f aca="false">CONCATENATE("__import__.res_partner_",C616)</f>
        <v>__import__.res_partner_20000010420</v>
      </c>
      <c r="B616" s="2" t="s">
        <v>5686</v>
      </c>
      <c r="C616" s="3" t="s">
        <v>5687</v>
      </c>
      <c r="D616" s="2" t="s">
        <v>5688</v>
      </c>
      <c r="F616" s="2" t="s">
        <v>30</v>
      </c>
      <c r="G616" s="2" t="s">
        <v>1664</v>
      </c>
      <c r="H616" s="2" t="s">
        <v>32</v>
      </c>
      <c r="K616" s="2" t="s">
        <v>5689</v>
      </c>
      <c r="L616" s="3" t="s">
        <v>5690</v>
      </c>
      <c r="M616" s="2" t="s">
        <v>5691</v>
      </c>
      <c r="O616" s="2" t="s">
        <v>4002</v>
      </c>
      <c r="P616" s="2" t="s">
        <v>37</v>
      </c>
      <c r="Q616" s="2" t="s">
        <v>5692</v>
      </c>
      <c r="R616" s="2" t="s">
        <v>5693</v>
      </c>
      <c r="T616" s="2" t="s">
        <v>76</v>
      </c>
      <c r="X616" s="2" t="n">
        <v>10420</v>
      </c>
      <c r="Y616" s="2" t="s">
        <v>678</v>
      </c>
      <c r="Z616" s="3" t="s">
        <v>5694</v>
      </c>
    </row>
    <row r="617" customFormat="false" ht="13.8" hidden="false" customHeight="false" outlineLevel="0" collapsed="false">
      <c r="A617" s="0" t="str">
        <f aca="false">CONCATENATE("__import__.res_partner_",C617)</f>
        <v>__import__.res_partner_20000010421</v>
      </c>
      <c r="B617" s="2" t="s">
        <v>5695</v>
      </c>
      <c r="C617" s="3" t="s">
        <v>5696</v>
      </c>
      <c r="D617" s="2" t="s">
        <v>5697</v>
      </c>
      <c r="F617" s="2" t="s">
        <v>30</v>
      </c>
      <c r="G617" s="2" t="s">
        <v>1664</v>
      </c>
      <c r="H617" s="2" t="s">
        <v>32</v>
      </c>
      <c r="K617" s="2" t="s">
        <v>5698</v>
      </c>
      <c r="L617" s="3" t="s">
        <v>4788</v>
      </c>
      <c r="M617" s="2" t="s">
        <v>5699</v>
      </c>
      <c r="O617" s="2" t="s">
        <v>4160</v>
      </c>
      <c r="P617" s="2" t="s">
        <v>37</v>
      </c>
      <c r="Q617" s="2" t="s">
        <v>5700</v>
      </c>
      <c r="R617" s="3" t="s">
        <v>5701</v>
      </c>
      <c r="T617" s="2" t="s">
        <v>697</v>
      </c>
      <c r="X617" s="2" t="n">
        <v>10421</v>
      </c>
      <c r="Y617" s="2" t="s">
        <v>5697</v>
      </c>
      <c r="Z617" s="3" t="s">
        <v>5702</v>
      </c>
    </row>
    <row r="618" customFormat="false" ht="13.8" hidden="false" customHeight="false" outlineLevel="0" collapsed="false">
      <c r="A618" s="0" t="str">
        <f aca="false">CONCATENATE("__import__.res_partner_",C618)</f>
        <v>__import__.res_partner_20000010422</v>
      </c>
      <c r="B618" s="2" t="s">
        <v>5703</v>
      </c>
      <c r="C618" s="3" t="s">
        <v>5704</v>
      </c>
      <c r="D618" s="2" t="s">
        <v>5705</v>
      </c>
      <c r="F618" s="2" t="s">
        <v>30</v>
      </c>
      <c r="G618" s="2" t="s">
        <v>1664</v>
      </c>
      <c r="H618" s="2" t="s">
        <v>32</v>
      </c>
      <c r="K618" s="2" t="s">
        <v>5706</v>
      </c>
      <c r="L618" s="3" t="s">
        <v>3362</v>
      </c>
      <c r="M618" s="2" t="s">
        <v>5707</v>
      </c>
      <c r="O618" s="2" t="s">
        <v>2754</v>
      </c>
      <c r="P618" s="2" t="s">
        <v>37</v>
      </c>
      <c r="Q618" s="2" t="s">
        <v>5708</v>
      </c>
      <c r="R618" s="3" t="s">
        <v>5709</v>
      </c>
      <c r="T618" s="2" t="s">
        <v>108</v>
      </c>
      <c r="X618" s="2" t="n">
        <v>10422</v>
      </c>
      <c r="Y618" s="2" t="s">
        <v>5710</v>
      </c>
      <c r="Z618" s="3" t="s">
        <v>5711</v>
      </c>
    </row>
    <row r="619" customFormat="false" ht="13.8" hidden="false" customHeight="false" outlineLevel="0" collapsed="false">
      <c r="A619" s="0" t="str">
        <f aca="false">CONCATENATE("__import__.res_partner_",C619)</f>
        <v>__import__.res_partner_20000010423</v>
      </c>
      <c r="B619" s="2" t="s">
        <v>5712</v>
      </c>
      <c r="C619" s="3" t="s">
        <v>5713</v>
      </c>
      <c r="D619" s="2" t="s">
        <v>5714</v>
      </c>
      <c r="F619" s="2" t="s">
        <v>30</v>
      </c>
      <c r="G619" s="2" t="s">
        <v>1664</v>
      </c>
      <c r="H619" s="2" t="s">
        <v>32</v>
      </c>
      <c r="K619" s="2" t="s">
        <v>5715</v>
      </c>
      <c r="L619" s="3" t="s">
        <v>4218</v>
      </c>
      <c r="M619" s="2" t="s">
        <v>5716</v>
      </c>
      <c r="O619" s="2" t="s">
        <v>2754</v>
      </c>
      <c r="P619" s="2" t="s">
        <v>37</v>
      </c>
      <c r="R619" s="2" t="s">
        <v>5717</v>
      </c>
      <c r="T619" s="2" t="s">
        <v>108</v>
      </c>
      <c r="X619" s="2" t="n">
        <v>10423</v>
      </c>
      <c r="Y619" s="2" t="s">
        <v>5718</v>
      </c>
      <c r="Z619" s="3" t="s">
        <v>5719</v>
      </c>
    </row>
    <row r="620" customFormat="false" ht="13.8" hidden="false" customHeight="false" outlineLevel="0" collapsed="false">
      <c r="A620" s="0" t="str">
        <f aca="false">CONCATENATE("__import__.res_partner_",C620)</f>
        <v>__import__.res_partner_20000010425</v>
      </c>
      <c r="B620" s="2" t="s">
        <v>5720</v>
      </c>
      <c r="C620" s="3" t="s">
        <v>5721</v>
      </c>
      <c r="D620" s="2" t="s">
        <v>5722</v>
      </c>
      <c r="F620" s="2" t="s">
        <v>30</v>
      </c>
      <c r="G620" s="2" t="s">
        <v>1664</v>
      </c>
      <c r="H620" s="2" t="s">
        <v>32</v>
      </c>
      <c r="K620" s="2" t="s">
        <v>5723</v>
      </c>
      <c r="L620" s="3" t="s">
        <v>4975</v>
      </c>
      <c r="M620" s="2" t="s">
        <v>5724</v>
      </c>
      <c r="O620" s="2" t="s">
        <v>2801</v>
      </c>
      <c r="P620" s="2" t="s">
        <v>37</v>
      </c>
      <c r="R620" s="3" t="s">
        <v>5725</v>
      </c>
      <c r="T620" s="2" t="s">
        <v>108</v>
      </c>
      <c r="X620" s="2" t="n">
        <v>10425</v>
      </c>
      <c r="Z620" s="3" t="s">
        <v>5726</v>
      </c>
    </row>
    <row r="621" customFormat="false" ht="13.8" hidden="false" customHeight="false" outlineLevel="0" collapsed="false">
      <c r="A621" s="0" t="str">
        <f aca="false">CONCATENATE("__import__.res_partner_",C621)</f>
        <v>__import__.res_partner_20000010426</v>
      </c>
      <c r="B621" s="2" t="s">
        <v>5727</v>
      </c>
      <c r="C621" s="3" t="s">
        <v>5728</v>
      </c>
      <c r="D621" s="2" t="s">
        <v>5729</v>
      </c>
      <c r="F621" s="2" t="s">
        <v>30</v>
      </c>
      <c r="G621" s="2" t="s">
        <v>1664</v>
      </c>
      <c r="H621" s="2" t="s">
        <v>32</v>
      </c>
      <c r="K621" s="2" t="s">
        <v>5730</v>
      </c>
      <c r="L621" s="3" t="s">
        <v>5731</v>
      </c>
      <c r="M621" s="2" t="s">
        <v>5732</v>
      </c>
      <c r="O621" s="2" t="s">
        <v>3645</v>
      </c>
      <c r="P621" s="2" t="s">
        <v>37</v>
      </c>
      <c r="R621" s="3" t="s">
        <v>5733</v>
      </c>
      <c r="T621" s="2" t="s">
        <v>108</v>
      </c>
      <c r="X621" s="2" t="n">
        <v>10426</v>
      </c>
      <c r="Y621" s="2" t="s">
        <v>678</v>
      </c>
      <c r="Z621" s="3" t="s">
        <v>5734</v>
      </c>
    </row>
    <row r="622" customFormat="false" ht="13.8" hidden="false" customHeight="false" outlineLevel="0" collapsed="false">
      <c r="A622" s="0" t="str">
        <f aca="false">CONCATENATE("__import__.res_partner_",C622)</f>
        <v>__import__.res_partner_20000010428</v>
      </c>
      <c r="B622" s="2" t="s">
        <v>5735</v>
      </c>
      <c r="C622" s="3" t="s">
        <v>5736</v>
      </c>
      <c r="D622" s="2" t="s">
        <v>5737</v>
      </c>
      <c r="F622" s="2" t="s">
        <v>30</v>
      </c>
      <c r="G622" s="2" t="s">
        <v>31</v>
      </c>
      <c r="H622" s="2" t="s">
        <v>32</v>
      </c>
      <c r="K622" s="2" t="s">
        <v>5738</v>
      </c>
      <c r="L622" s="3" t="s">
        <v>3861</v>
      </c>
      <c r="M622" s="2" t="s">
        <v>5739</v>
      </c>
      <c r="O622" s="2" t="s">
        <v>2754</v>
      </c>
      <c r="P622" s="2" t="s">
        <v>37</v>
      </c>
      <c r="T622" s="2" t="s">
        <v>76</v>
      </c>
      <c r="X622" s="2" t="n">
        <v>10428</v>
      </c>
      <c r="Y622" s="2" t="s">
        <v>5740</v>
      </c>
      <c r="Z622" s="3" t="s">
        <v>5741</v>
      </c>
    </row>
    <row r="623" customFormat="false" ht="13.8" hidden="false" customHeight="false" outlineLevel="0" collapsed="false">
      <c r="A623" s="0" t="str">
        <f aca="false">CONCATENATE("__import__.res_partner_",C623)</f>
        <v>__import__.res_partner_20000010429</v>
      </c>
      <c r="B623" s="2" t="s">
        <v>5742</v>
      </c>
      <c r="C623" s="3" t="s">
        <v>5743</v>
      </c>
      <c r="D623" s="2" t="s">
        <v>5744</v>
      </c>
      <c r="F623" s="3" t="s">
        <v>557</v>
      </c>
      <c r="G623" s="2" t="s">
        <v>31</v>
      </c>
      <c r="H623" s="2" t="s">
        <v>32</v>
      </c>
      <c r="K623" s="2" t="s">
        <v>5745</v>
      </c>
      <c r="L623" s="3" t="s">
        <v>4788</v>
      </c>
      <c r="M623" s="2" t="s">
        <v>5746</v>
      </c>
      <c r="O623" s="2" t="s">
        <v>4160</v>
      </c>
      <c r="P623" s="2" t="s">
        <v>37</v>
      </c>
      <c r="T623" s="2" t="s">
        <v>697</v>
      </c>
      <c r="V623" s="2" t="s">
        <v>3692</v>
      </c>
      <c r="X623" s="2" t="n">
        <v>10429</v>
      </c>
      <c r="Y623" s="2" t="s">
        <v>5747</v>
      </c>
      <c r="Z623" s="3" t="s">
        <v>5748</v>
      </c>
    </row>
    <row r="624" customFormat="false" ht="13.8" hidden="false" customHeight="false" outlineLevel="0" collapsed="false">
      <c r="A624" s="0" t="str">
        <f aca="false">CONCATENATE("__import__.res_partner_",C624)</f>
        <v>__import__.res_partner_20000010431</v>
      </c>
      <c r="B624" s="2" t="s">
        <v>5749</v>
      </c>
      <c r="C624" s="3" t="s">
        <v>5750</v>
      </c>
      <c r="D624" s="2" t="s">
        <v>5751</v>
      </c>
      <c r="F624" s="2" t="s">
        <v>30</v>
      </c>
      <c r="G624" s="2" t="s">
        <v>1664</v>
      </c>
      <c r="H624" s="2" t="s">
        <v>32</v>
      </c>
      <c r="K624" s="2" t="s">
        <v>5752</v>
      </c>
      <c r="L624" s="3" t="s">
        <v>5753</v>
      </c>
      <c r="M624" s="2" t="s">
        <v>5754</v>
      </c>
      <c r="O624" s="2" t="s">
        <v>3833</v>
      </c>
      <c r="P624" s="2" t="s">
        <v>37</v>
      </c>
      <c r="T624" s="2" t="s">
        <v>76</v>
      </c>
      <c r="X624" s="2" t="n">
        <v>10431</v>
      </c>
      <c r="Y624" s="2" t="s">
        <v>678</v>
      </c>
      <c r="Z624" s="3" t="s">
        <v>5755</v>
      </c>
    </row>
    <row r="625" customFormat="false" ht="13.8" hidden="false" customHeight="false" outlineLevel="0" collapsed="false">
      <c r="A625" s="0" t="str">
        <f aca="false">CONCATENATE("__import__.res_partner_",C625)</f>
        <v>__import__.res_partner_20000010433</v>
      </c>
      <c r="B625" s="2" t="s">
        <v>5756</v>
      </c>
      <c r="C625" s="3" t="s">
        <v>5757</v>
      </c>
      <c r="D625" s="2" t="s">
        <v>5758</v>
      </c>
      <c r="F625" s="2" t="s">
        <v>30</v>
      </c>
      <c r="G625" s="2" t="s">
        <v>31</v>
      </c>
      <c r="H625" s="2" t="s">
        <v>32</v>
      </c>
      <c r="K625" s="2" t="s">
        <v>5759</v>
      </c>
      <c r="L625" s="3" t="s">
        <v>2763</v>
      </c>
      <c r="M625" s="2" t="s">
        <v>5760</v>
      </c>
      <c r="O625" s="2" t="s">
        <v>3689</v>
      </c>
      <c r="P625" s="2" t="s">
        <v>37</v>
      </c>
      <c r="R625" s="3" t="s">
        <v>5761</v>
      </c>
      <c r="T625" s="2" t="s">
        <v>76</v>
      </c>
      <c r="X625" s="2" t="n">
        <v>10433</v>
      </c>
      <c r="Y625" s="2" t="s">
        <v>678</v>
      </c>
      <c r="Z625" s="3" t="s">
        <v>5762</v>
      </c>
    </row>
    <row r="626" customFormat="false" ht="13.8" hidden="false" customHeight="false" outlineLevel="0" collapsed="false">
      <c r="A626" s="0" t="str">
        <f aca="false">CONCATENATE("__import__.res_partner_",C626)</f>
        <v>__import__.res_partner_20000010434</v>
      </c>
      <c r="B626" s="2" t="s">
        <v>5763</v>
      </c>
      <c r="C626" s="3" t="s">
        <v>5764</v>
      </c>
      <c r="D626" s="2" t="s">
        <v>5765</v>
      </c>
      <c r="F626" s="2" t="s">
        <v>30</v>
      </c>
      <c r="G626" s="2" t="s">
        <v>31</v>
      </c>
      <c r="H626" s="2" t="s">
        <v>32</v>
      </c>
      <c r="K626" s="2" t="s">
        <v>5766</v>
      </c>
      <c r="L626" s="3" t="s">
        <v>1791</v>
      </c>
      <c r="M626" s="2" t="s">
        <v>5767</v>
      </c>
      <c r="O626" s="2" t="s">
        <v>5768</v>
      </c>
      <c r="P626" s="2" t="s">
        <v>37</v>
      </c>
      <c r="Q626" s="2" t="s">
        <v>5769</v>
      </c>
      <c r="R626" s="3" t="s">
        <v>5770</v>
      </c>
      <c r="T626" s="2" t="s">
        <v>64</v>
      </c>
      <c r="X626" s="2" t="n">
        <v>10434</v>
      </c>
      <c r="Y626" s="2" t="s">
        <v>678</v>
      </c>
      <c r="Z626" s="3" t="s">
        <v>5771</v>
      </c>
    </row>
    <row r="627" customFormat="false" ht="13.8" hidden="false" customHeight="false" outlineLevel="0" collapsed="false">
      <c r="A627" s="0" t="str">
        <f aca="false">CONCATENATE("__import__.res_partner_",C627)</f>
        <v>__import__.res_partner_20000010435</v>
      </c>
      <c r="B627" s="2" t="s">
        <v>5772</v>
      </c>
      <c r="C627" s="3" t="s">
        <v>5773</v>
      </c>
      <c r="D627" s="2" t="s">
        <v>5774</v>
      </c>
      <c r="F627" s="2" t="s">
        <v>30</v>
      </c>
      <c r="G627" s="2" t="s">
        <v>31</v>
      </c>
      <c r="H627" s="2" t="s">
        <v>32</v>
      </c>
      <c r="K627" s="2" t="s">
        <v>5775</v>
      </c>
      <c r="L627" s="3" t="s">
        <v>5776</v>
      </c>
      <c r="M627" s="2" t="s">
        <v>5777</v>
      </c>
      <c r="O627" s="2" t="s">
        <v>5778</v>
      </c>
      <c r="P627" s="2" t="s">
        <v>1162</v>
      </c>
      <c r="R627" s="3" t="s">
        <v>5779</v>
      </c>
      <c r="T627" s="2" t="s">
        <v>959</v>
      </c>
      <c r="X627" s="2" t="n">
        <v>10435</v>
      </c>
      <c r="Y627" s="2" t="s">
        <v>678</v>
      </c>
      <c r="Z627" s="3" t="s">
        <v>5780</v>
      </c>
    </row>
    <row r="628" customFormat="false" ht="13.8" hidden="false" customHeight="false" outlineLevel="0" collapsed="false">
      <c r="A628" s="0" t="str">
        <f aca="false">CONCATENATE("__import__.res_partner_",C628)</f>
        <v>__import__.res_partner_20000010446</v>
      </c>
      <c r="B628" s="2" t="s">
        <v>5781</v>
      </c>
      <c r="C628" s="3" t="s">
        <v>5782</v>
      </c>
      <c r="D628" s="2" t="s">
        <v>5783</v>
      </c>
      <c r="F628" s="3" t="s">
        <v>557</v>
      </c>
      <c r="G628" s="2" t="s">
        <v>1664</v>
      </c>
      <c r="H628" s="2" t="s">
        <v>32</v>
      </c>
      <c r="K628" s="2" t="s">
        <v>5784</v>
      </c>
      <c r="L628" s="3" t="s">
        <v>5785</v>
      </c>
      <c r="M628" s="2" t="s">
        <v>5786</v>
      </c>
      <c r="O628" s="2" t="s">
        <v>5787</v>
      </c>
      <c r="P628" s="2" t="s">
        <v>37</v>
      </c>
      <c r="Q628" s="2" t="s">
        <v>326</v>
      </c>
      <c r="R628" s="2" t="s">
        <v>5788</v>
      </c>
      <c r="T628" s="2" t="s">
        <v>697</v>
      </c>
      <c r="W628" s="2" t="s">
        <v>5789</v>
      </c>
      <c r="X628" s="2" t="n">
        <v>10446</v>
      </c>
      <c r="Y628" s="2" t="s">
        <v>5790</v>
      </c>
      <c r="Z628" s="3" t="s">
        <v>5791</v>
      </c>
    </row>
    <row r="629" customFormat="false" ht="13.8" hidden="false" customHeight="false" outlineLevel="0" collapsed="false">
      <c r="A629" s="0" t="str">
        <f aca="false">CONCATENATE("__import__.res_partner_",C629)</f>
        <v>__import__.res_partner_20000010448</v>
      </c>
      <c r="B629" s="2" t="s">
        <v>5792</v>
      </c>
      <c r="C629" s="3" t="s">
        <v>5793</v>
      </c>
      <c r="D629" s="2" t="s">
        <v>5794</v>
      </c>
      <c r="F629" s="2" t="s">
        <v>30</v>
      </c>
      <c r="G629" s="2" t="s">
        <v>1664</v>
      </c>
      <c r="H629" s="2" t="s">
        <v>32</v>
      </c>
      <c r="K629" s="2" t="s">
        <v>5795</v>
      </c>
      <c r="L629" s="3" t="s">
        <v>5796</v>
      </c>
      <c r="M629" s="2" t="s">
        <v>5797</v>
      </c>
      <c r="O629" s="2" t="s">
        <v>5798</v>
      </c>
      <c r="P629" s="2" t="s">
        <v>37</v>
      </c>
      <c r="R629" s="3" t="s">
        <v>5799</v>
      </c>
      <c r="T629" s="2" t="s">
        <v>76</v>
      </c>
      <c r="X629" s="2" t="n">
        <v>10448</v>
      </c>
      <c r="Y629" s="2" t="s">
        <v>678</v>
      </c>
      <c r="Z629" s="3" t="s">
        <v>5800</v>
      </c>
    </row>
    <row r="630" customFormat="false" ht="13.8" hidden="false" customHeight="false" outlineLevel="0" collapsed="false">
      <c r="A630" s="0" t="str">
        <f aca="false">CONCATENATE("__import__.res_partner_",C630)</f>
        <v>__import__.res_partner_20000010449</v>
      </c>
      <c r="B630" s="2" t="s">
        <v>5801</v>
      </c>
      <c r="C630" s="3" t="s">
        <v>5802</v>
      </c>
      <c r="D630" s="2" t="s">
        <v>5803</v>
      </c>
      <c r="F630" s="2" t="s">
        <v>30</v>
      </c>
      <c r="G630" s="2" t="s">
        <v>31</v>
      </c>
      <c r="H630" s="2" t="s">
        <v>32</v>
      </c>
      <c r="K630" s="2" t="s">
        <v>5804</v>
      </c>
      <c r="L630" s="2" t="s">
        <v>5805</v>
      </c>
      <c r="M630" s="2" t="s">
        <v>5806</v>
      </c>
      <c r="O630" s="2" t="s">
        <v>674</v>
      </c>
      <c r="P630" s="2" t="s">
        <v>675</v>
      </c>
      <c r="R630" s="3" t="s">
        <v>5807</v>
      </c>
      <c r="T630" s="2" t="s">
        <v>697</v>
      </c>
      <c r="W630" s="2" t="s">
        <v>5808</v>
      </c>
      <c r="X630" s="2" t="n">
        <v>10449</v>
      </c>
      <c r="Y630" s="2" t="s">
        <v>5809</v>
      </c>
      <c r="Z630" s="3" t="s">
        <v>5810</v>
      </c>
    </row>
    <row r="631" customFormat="false" ht="13.8" hidden="false" customHeight="false" outlineLevel="0" collapsed="false">
      <c r="A631" s="0" t="str">
        <f aca="false">CONCATENATE("__import__.res_partner_",C631)</f>
        <v>__import__.res_partner_20000010450</v>
      </c>
      <c r="B631" s="2" t="s">
        <v>5811</v>
      </c>
      <c r="C631" s="3" t="s">
        <v>5812</v>
      </c>
      <c r="D631" s="2" t="s">
        <v>5813</v>
      </c>
      <c r="F631" s="2" t="s">
        <v>30</v>
      </c>
      <c r="G631" s="2" t="s">
        <v>1664</v>
      </c>
      <c r="H631" s="2" t="s">
        <v>32</v>
      </c>
      <c r="K631" s="2" t="s">
        <v>5814</v>
      </c>
      <c r="L631" s="3" t="s">
        <v>5815</v>
      </c>
      <c r="M631" s="2" t="s">
        <v>5816</v>
      </c>
      <c r="O631" s="2" t="s">
        <v>4143</v>
      </c>
      <c r="P631" s="2" t="s">
        <v>37</v>
      </c>
      <c r="R631" s="3" t="s">
        <v>5817</v>
      </c>
      <c r="T631" s="2" t="s">
        <v>76</v>
      </c>
      <c r="X631" s="2" t="n">
        <v>10450</v>
      </c>
      <c r="Y631" s="2" t="s">
        <v>678</v>
      </c>
      <c r="Z631" s="3" t="s">
        <v>5818</v>
      </c>
    </row>
    <row r="632" customFormat="false" ht="86.25" hidden="false" customHeight="false" outlineLevel="0" collapsed="false">
      <c r="A632" s="0" t="str">
        <f aca="false">CONCATENATE("__import__.res_partner_",C632)</f>
        <v>__import__.res_partner_20000010451</v>
      </c>
      <c r="B632" s="2" t="s">
        <v>5819</v>
      </c>
      <c r="C632" s="3" t="s">
        <v>5820</v>
      </c>
      <c r="D632" s="2" t="s">
        <v>5821</v>
      </c>
      <c r="F632" s="2" t="s">
        <v>30</v>
      </c>
      <c r="G632" s="2" t="s">
        <v>1664</v>
      </c>
      <c r="H632" s="2" t="s">
        <v>32</v>
      </c>
      <c r="K632" s="2" t="s">
        <v>5822</v>
      </c>
      <c r="L632" s="3" t="s">
        <v>480</v>
      </c>
      <c r="M632" s="2" t="s">
        <v>5823</v>
      </c>
      <c r="O632" s="2" t="s">
        <v>49</v>
      </c>
      <c r="P632" s="2" t="s">
        <v>37</v>
      </c>
      <c r="R632" s="3" t="s">
        <v>5824</v>
      </c>
      <c r="T632" s="2" t="s">
        <v>697</v>
      </c>
      <c r="X632" s="2" t="n">
        <v>10451</v>
      </c>
      <c r="Y632" s="2" t="s">
        <v>678</v>
      </c>
      <c r="Z632" s="3" t="s">
        <v>5825</v>
      </c>
      <c r="AA632" s="4" t="s">
        <v>5826</v>
      </c>
    </row>
    <row r="633" customFormat="false" ht="13.8" hidden="false" customHeight="false" outlineLevel="0" collapsed="false">
      <c r="A633" s="0" t="str">
        <f aca="false">CONCATENATE("__import__.res_partner_",C633)</f>
        <v>__import__.res_partner_20000010452</v>
      </c>
      <c r="B633" s="2" t="s">
        <v>5827</v>
      </c>
      <c r="C633" s="3" t="s">
        <v>5828</v>
      </c>
      <c r="D633" s="2" t="s">
        <v>5829</v>
      </c>
      <c r="F633" s="2" t="s">
        <v>30</v>
      </c>
      <c r="G633" s="2" t="s">
        <v>1664</v>
      </c>
      <c r="H633" s="2" t="s">
        <v>32</v>
      </c>
      <c r="K633" s="2" t="s">
        <v>5830</v>
      </c>
      <c r="L633" s="3" t="s">
        <v>2763</v>
      </c>
      <c r="M633" s="2" t="s">
        <v>5831</v>
      </c>
      <c r="O633" s="2" t="s">
        <v>3689</v>
      </c>
      <c r="P633" s="2" t="s">
        <v>37</v>
      </c>
      <c r="R633" s="2" t="s">
        <v>5832</v>
      </c>
      <c r="T633" s="2" t="s">
        <v>76</v>
      </c>
      <c r="X633" s="2" t="n">
        <v>10452</v>
      </c>
      <c r="Y633" s="2" t="s">
        <v>678</v>
      </c>
      <c r="Z633" s="3" t="s">
        <v>5833</v>
      </c>
    </row>
    <row r="634" customFormat="false" ht="13.8" hidden="false" customHeight="false" outlineLevel="0" collapsed="false">
      <c r="A634" s="0" t="str">
        <f aca="false">CONCATENATE("__import__.res_partner_",C634)</f>
        <v>__import__.res_partner_20000010453</v>
      </c>
      <c r="B634" s="2" t="s">
        <v>5834</v>
      </c>
      <c r="C634" s="3" t="s">
        <v>5835</v>
      </c>
      <c r="D634" s="2" t="s">
        <v>5836</v>
      </c>
      <c r="F634" s="3" t="s">
        <v>557</v>
      </c>
      <c r="G634" s="2" t="s">
        <v>1664</v>
      </c>
      <c r="H634" s="2" t="s">
        <v>32</v>
      </c>
      <c r="K634" s="2" t="s">
        <v>5837</v>
      </c>
      <c r="L634" s="3" t="s">
        <v>2868</v>
      </c>
      <c r="M634" s="2" t="s">
        <v>5838</v>
      </c>
      <c r="O634" s="2" t="s">
        <v>2754</v>
      </c>
      <c r="P634" s="2" t="s">
        <v>37</v>
      </c>
      <c r="R634" s="2" t="s">
        <v>5839</v>
      </c>
      <c r="T634" s="2" t="s">
        <v>76</v>
      </c>
      <c r="X634" s="2" t="n">
        <v>10453</v>
      </c>
      <c r="Y634" s="2" t="s">
        <v>678</v>
      </c>
      <c r="Z634" s="3" t="s">
        <v>5840</v>
      </c>
    </row>
    <row r="635" customFormat="false" ht="13.8" hidden="false" customHeight="false" outlineLevel="0" collapsed="false">
      <c r="A635" s="0" t="str">
        <f aca="false">CONCATENATE("__import__.res_partner_",C635)</f>
        <v>__import__.res_partner_20000010454</v>
      </c>
      <c r="B635" s="2" t="s">
        <v>5841</v>
      </c>
      <c r="C635" s="3" t="s">
        <v>5842</v>
      </c>
      <c r="D635" s="2" t="s">
        <v>5843</v>
      </c>
      <c r="F635" s="3" t="s">
        <v>557</v>
      </c>
      <c r="G635" s="2" t="s">
        <v>1664</v>
      </c>
      <c r="H635" s="2" t="s">
        <v>32</v>
      </c>
      <c r="K635" s="2" t="s">
        <v>5844</v>
      </c>
      <c r="L635" s="3" t="s">
        <v>5845</v>
      </c>
      <c r="M635" s="2" t="s">
        <v>5846</v>
      </c>
      <c r="O635" s="2" t="s">
        <v>2811</v>
      </c>
      <c r="P635" s="2" t="s">
        <v>37</v>
      </c>
      <c r="T635" s="2" t="s">
        <v>76</v>
      </c>
      <c r="X635" s="2" t="n">
        <v>10454</v>
      </c>
      <c r="Y635" s="2" t="s">
        <v>678</v>
      </c>
      <c r="Z635" s="3" t="s">
        <v>5847</v>
      </c>
    </row>
    <row r="636" customFormat="false" ht="28.5" hidden="false" customHeight="false" outlineLevel="0" collapsed="false">
      <c r="A636" s="0" t="str">
        <f aca="false">CONCATENATE("__import__.res_partner_",C636)</f>
        <v>__import__.res_partner_20000010455</v>
      </c>
      <c r="B636" s="2" t="s">
        <v>5848</v>
      </c>
      <c r="C636" s="3" t="s">
        <v>5849</v>
      </c>
      <c r="D636" s="2" t="s">
        <v>5850</v>
      </c>
      <c r="F636" s="2" t="s">
        <v>30</v>
      </c>
      <c r="G636" s="2" t="s">
        <v>31</v>
      </c>
      <c r="H636" s="2" t="s">
        <v>32</v>
      </c>
      <c r="K636" s="2" t="s">
        <v>5851</v>
      </c>
      <c r="L636" s="3" t="s">
        <v>5852</v>
      </c>
      <c r="M636" s="2" t="s">
        <v>5853</v>
      </c>
      <c r="O636" s="2" t="s">
        <v>5854</v>
      </c>
      <c r="P636" s="2" t="s">
        <v>37</v>
      </c>
      <c r="Q636" s="2" t="s">
        <v>5855</v>
      </c>
      <c r="R636" s="3" t="s">
        <v>5856</v>
      </c>
      <c r="T636" s="2" t="s">
        <v>97</v>
      </c>
      <c r="X636" s="2" t="n">
        <v>10455</v>
      </c>
      <c r="Y636" s="2" t="s">
        <v>5857</v>
      </c>
      <c r="Z636" s="3" t="s">
        <v>5858</v>
      </c>
      <c r="AA636" s="4" t="s">
        <v>5859</v>
      </c>
    </row>
    <row r="637" customFormat="false" ht="13.8" hidden="false" customHeight="false" outlineLevel="0" collapsed="false">
      <c r="A637" s="0" t="str">
        <f aca="false">CONCATENATE("__import__.res_partner_",C637)</f>
        <v>__import__.res_partner_20000010457</v>
      </c>
      <c r="B637" s="2" t="s">
        <v>5860</v>
      </c>
      <c r="C637" s="3" t="s">
        <v>5861</v>
      </c>
      <c r="D637" s="2" t="s">
        <v>5862</v>
      </c>
      <c r="F637" s="3" t="s">
        <v>557</v>
      </c>
      <c r="G637" s="2" t="s">
        <v>31</v>
      </c>
      <c r="H637" s="2" t="s">
        <v>32</v>
      </c>
      <c r="K637" s="2" t="s">
        <v>5863</v>
      </c>
      <c r="L637" s="3" t="s">
        <v>5642</v>
      </c>
      <c r="M637" s="2" t="s">
        <v>5864</v>
      </c>
      <c r="O637" s="2" t="s">
        <v>5644</v>
      </c>
      <c r="P637" s="2" t="s">
        <v>37</v>
      </c>
      <c r="Q637" s="2" t="s">
        <v>5865</v>
      </c>
      <c r="T637" s="2" t="s">
        <v>76</v>
      </c>
      <c r="X637" s="2" t="n">
        <v>10457</v>
      </c>
      <c r="Y637" s="2" t="s">
        <v>5866</v>
      </c>
      <c r="Z637" s="3" t="s">
        <v>5867</v>
      </c>
    </row>
    <row r="638" customFormat="false" ht="13.8" hidden="false" customHeight="false" outlineLevel="0" collapsed="false">
      <c r="A638" s="0" t="str">
        <f aca="false">CONCATENATE("__import__.res_partner_",C638)</f>
        <v>__import__.res_partner_20000010458</v>
      </c>
      <c r="B638" s="2" t="s">
        <v>5868</v>
      </c>
      <c r="C638" s="3" t="s">
        <v>5869</v>
      </c>
      <c r="D638" s="2" t="s">
        <v>5870</v>
      </c>
      <c r="F638" s="2" t="s">
        <v>30</v>
      </c>
      <c r="G638" s="2" t="s">
        <v>1664</v>
      </c>
      <c r="H638" s="2" t="s">
        <v>32</v>
      </c>
      <c r="K638" s="2" t="s">
        <v>5871</v>
      </c>
      <c r="L638" s="3" t="s">
        <v>5872</v>
      </c>
      <c r="M638" s="2" t="s">
        <v>5873</v>
      </c>
      <c r="O638" s="2" t="s">
        <v>5874</v>
      </c>
      <c r="P638" s="2" t="s">
        <v>37</v>
      </c>
      <c r="T638" s="2" t="s">
        <v>97</v>
      </c>
      <c r="X638" s="2" t="n">
        <v>10458</v>
      </c>
      <c r="Y638" s="2" t="s">
        <v>5875</v>
      </c>
      <c r="Z638" s="3" t="s">
        <v>5876</v>
      </c>
    </row>
    <row r="639" customFormat="false" ht="13.8" hidden="false" customHeight="false" outlineLevel="0" collapsed="false">
      <c r="A639" s="0" t="str">
        <f aca="false">CONCATENATE("__import__.res_partner_",C639)</f>
        <v>__import__.res_partner_20000010461</v>
      </c>
      <c r="B639" s="2" t="s">
        <v>5877</v>
      </c>
      <c r="C639" s="3" t="s">
        <v>5878</v>
      </c>
      <c r="D639" s="2" t="s">
        <v>5879</v>
      </c>
      <c r="F639" s="2" t="s">
        <v>30</v>
      </c>
      <c r="G639" s="2" t="s">
        <v>1664</v>
      </c>
      <c r="H639" s="2" t="s">
        <v>32</v>
      </c>
      <c r="K639" s="2" t="s">
        <v>5880</v>
      </c>
      <c r="L639" s="3" t="s">
        <v>5881</v>
      </c>
      <c r="M639" s="2" t="s">
        <v>5882</v>
      </c>
      <c r="O639" s="2" t="s">
        <v>5883</v>
      </c>
      <c r="P639" s="2" t="s">
        <v>37</v>
      </c>
      <c r="R639" s="2" t="s">
        <v>5884</v>
      </c>
      <c r="T639" s="2" t="s">
        <v>108</v>
      </c>
      <c r="X639" s="2" t="n">
        <v>10461</v>
      </c>
      <c r="Y639" s="2" t="s">
        <v>678</v>
      </c>
      <c r="Z639" s="3" t="s">
        <v>5885</v>
      </c>
    </row>
    <row r="640" customFormat="false" ht="13.8" hidden="false" customHeight="false" outlineLevel="0" collapsed="false">
      <c r="A640" s="0" t="str">
        <f aca="false">CONCATENATE("__import__.res_partner_",C640)</f>
        <v>__import__.res_partner_20000010463</v>
      </c>
      <c r="B640" s="2" t="s">
        <v>5886</v>
      </c>
      <c r="C640" s="3" t="s">
        <v>5887</v>
      </c>
      <c r="D640" s="2" t="s">
        <v>5888</v>
      </c>
      <c r="F640" s="2" t="s">
        <v>30</v>
      </c>
      <c r="G640" s="2" t="s">
        <v>31</v>
      </c>
      <c r="H640" s="2" t="s">
        <v>32</v>
      </c>
      <c r="K640" s="2" t="s">
        <v>5889</v>
      </c>
      <c r="L640" s="3" t="s">
        <v>5890</v>
      </c>
      <c r="M640" s="2" t="s">
        <v>5891</v>
      </c>
      <c r="O640" s="2" t="s">
        <v>3833</v>
      </c>
      <c r="P640" s="2" t="s">
        <v>37</v>
      </c>
      <c r="Q640" s="2" t="s">
        <v>5892</v>
      </c>
      <c r="R640" s="2" t="s">
        <v>5893</v>
      </c>
      <c r="T640" s="2" t="s">
        <v>697</v>
      </c>
      <c r="X640" s="2" t="n">
        <v>10463</v>
      </c>
      <c r="Y640" s="2" t="s">
        <v>678</v>
      </c>
      <c r="Z640" s="3" t="s">
        <v>5894</v>
      </c>
    </row>
    <row r="641" customFormat="false" ht="13.8" hidden="false" customHeight="false" outlineLevel="0" collapsed="false">
      <c r="A641" s="0" t="str">
        <f aca="false">CONCATENATE("__import__.res_partner_",C641)</f>
        <v>__import__.res_partner_20000010468</v>
      </c>
      <c r="B641" s="2" t="s">
        <v>5895</v>
      </c>
      <c r="C641" s="3" t="s">
        <v>5896</v>
      </c>
      <c r="D641" s="2" t="s">
        <v>5897</v>
      </c>
      <c r="F641" s="2" t="s">
        <v>30</v>
      </c>
      <c r="G641" s="2" t="s">
        <v>31</v>
      </c>
      <c r="H641" s="2" t="s">
        <v>32</v>
      </c>
      <c r="K641" s="2" t="s">
        <v>5898</v>
      </c>
      <c r="L641" s="3" t="s">
        <v>5899</v>
      </c>
      <c r="M641" s="2" t="s">
        <v>5900</v>
      </c>
      <c r="O641" s="2" t="s">
        <v>49</v>
      </c>
      <c r="P641" s="2" t="s">
        <v>37</v>
      </c>
      <c r="Q641" s="2" t="s">
        <v>5901</v>
      </c>
      <c r="R641" s="2" t="s">
        <v>5902</v>
      </c>
      <c r="T641" s="2" t="s">
        <v>697</v>
      </c>
      <c r="V641" s="2" t="s">
        <v>1419</v>
      </c>
      <c r="W641" s="2" t="s">
        <v>5903</v>
      </c>
      <c r="X641" s="2" t="n">
        <v>10468</v>
      </c>
      <c r="Y641" s="2" t="s">
        <v>5904</v>
      </c>
      <c r="Z641" s="3" t="s">
        <v>5905</v>
      </c>
    </row>
    <row r="642" customFormat="false" ht="13.8" hidden="false" customHeight="false" outlineLevel="0" collapsed="false">
      <c r="A642" s="0" t="str">
        <f aca="false">CONCATENATE("__import__.res_partner_",C642)</f>
        <v>__import__.res_partner_20000010469</v>
      </c>
      <c r="B642" s="2" t="s">
        <v>5906</v>
      </c>
      <c r="C642" s="3" t="s">
        <v>5907</v>
      </c>
      <c r="D642" s="2" t="s">
        <v>5908</v>
      </c>
      <c r="F642" s="2" t="s">
        <v>30</v>
      </c>
      <c r="G642" s="2" t="s">
        <v>31</v>
      </c>
      <c r="H642" s="2" t="s">
        <v>32</v>
      </c>
      <c r="K642" s="2" t="s">
        <v>5909</v>
      </c>
      <c r="L642" s="3" t="s">
        <v>5910</v>
      </c>
      <c r="M642" s="2" t="s">
        <v>5911</v>
      </c>
      <c r="O642" s="2" t="s">
        <v>5912</v>
      </c>
      <c r="P642" s="2" t="s">
        <v>37</v>
      </c>
      <c r="Q642" s="2" t="s">
        <v>5913</v>
      </c>
      <c r="R642" s="3" t="s">
        <v>5914</v>
      </c>
      <c r="T642" s="2" t="s">
        <v>76</v>
      </c>
      <c r="X642" s="2" t="n">
        <v>10469</v>
      </c>
      <c r="Y642" s="2" t="s">
        <v>5915</v>
      </c>
      <c r="Z642" s="3" t="s">
        <v>5916</v>
      </c>
    </row>
    <row r="643" customFormat="false" ht="13.8" hidden="false" customHeight="false" outlineLevel="0" collapsed="false">
      <c r="A643" s="0" t="str">
        <f aca="false">CONCATENATE("__import__.res_partner_",C643)</f>
        <v>__import__.res_partner_20000010470</v>
      </c>
      <c r="B643" s="2" t="s">
        <v>5917</v>
      </c>
      <c r="C643" s="3" t="s">
        <v>5918</v>
      </c>
      <c r="D643" s="2" t="s">
        <v>5919</v>
      </c>
      <c r="F643" s="2" t="s">
        <v>30</v>
      </c>
      <c r="G643" s="2" t="s">
        <v>31</v>
      </c>
      <c r="H643" s="2" t="s">
        <v>32</v>
      </c>
      <c r="K643" s="2" t="s">
        <v>5920</v>
      </c>
      <c r="L643" s="3" t="s">
        <v>2044</v>
      </c>
      <c r="M643" s="2" t="s">
        <v>5921</v>
      </c>
      <c r="O643" s="2" t="s">
        <v>5874</v>
      </c>
      <c r="P643" s="2" t="s">
        <v>37</v>
      </c>
      <c r="T643" s="2" t="s">
        <v>76</v>
      </c>
      <c r="X643" s="2" t="n">
        <v>10470</v>
      </c>
      <c r="Y643" s="2" t="s">
        <v>5922</v>
      </c>
      <c r="Z643" s="3" t="s">
        <v>5923</v>
      </c>
    </row>
    <row r="644" customFormat="false" ht="28.5" hidden="false" customHeight="false" outlineLevel="0" collapsed="false">
      <c r="A644" s="0" t="str">
        <f aca="false">CONCATENATE("__import__.res_partner_",C644)</f>
        <v>__import__.res_partner_20000010472</v>
      </c>
      <c r="B644" s="2" t="s">
        <v>5924</v>
      </c>
      <c r="C644" s="3" t="s">
        <v>5925</v>
      </c>
      <c r="D644" s="2" t="s">
        <v>5926</v>
      </c>
      <c r="F644" s="2" t="s">
        <v>30</v>
      </c>
      <c r="G644" s="2" t="s">
        <v>31</v>
      </c>
      <c r="H644" s="2" t="s">
        <v>32</v>
      </c>
      <c r="K644" s="2" t="s">
        <v>5927</v>
      </c>
      <c r="L644" s="3" t="s">
        <v>3305</v>
      </c>
      <c r="M644" s="2" t="s">
        <v>5928</v>
      </c>
      <c r="O644" s="2" t="s">
        <v>36</v>
      </c>
      <c r="P644" s="2" t="s">
        <v>37</v>
      </c>
      <c r="Q644" s="2" t="s">
        <v>5929</v>
      </c>
      <c r="R644" s="2" t="s">
        <v>5930</v>
      </c>
      <c r="T644" s="2" t="s">
        <v>697</v>
      </c>
      <c r="X644" s="2" t="n">
        <v>10472</v>
      </c>
      <c r="Y644" s="2" t="s">
        <v>678</v>
      </c>
      <c r="Z644" s="3" t="s">
        <v>5931</v>
      </c>
      <c r="AA644" s="4" t="s">
        <v>5932</v>
      </c>
    </row>
    <row r="645" customFormat="false" ht="13.8" hidden="false" customHeight="false" outlineLevel="0" collapsed="false">
      <c r="A645" s="0" t="str">
        <f aca="false">CONCATENATE("__import__.res_partner_",C645)</f>
        <v>__import__.res_partner_20000010474</v>
      </c>
      <c r="B645" s="2" t="s">
        <v>5933</v>
      </c>
      <c r="C645" s="3" t="s">
        <v>5934</v>
      </c>
      <c r="D645" s="2" t="s">
        <v>5935</v>
      </c>
      <c r="F645" s="2" t="s">
        <v>30</v>
      </c>
      <c r="G645" s="2" t="s">
        <v>31</v>
      </c>
      <c r="H645" s="2" t="s">
        <v>32</v>
      </c>
      <c r="K645" s="2" t="s">
        <v>5936</v>
      </c>
      <c r="L645" s="3" t="s">
        <v>2799</v>
      </c>
      <c r="M645" s="2" t="s">
        <v>5937</v>
      </c>
      <c r="O645" s="2" t="s">
        <v>2801</v>
      </c>
      <c r="P645" s="2" t="s">
        <v>37</v>
      </c>
      <c r="T645" s="2" t="s">
        <v>76</v>
      </c>
      <c r="X645" s="2" t="n">
        <v>10474</v>
      </c>
      <c r="Y645" s="2" t="s">
        <v>678</v>
      </c>
      <c r="Z645" s="3" t="s">
        <v>5938</v>
      </c>
    </row>
    <row r="646" customFormat="false" ht="13.8" hidden="false" customHeight="false" outlineLevel="0" collapsed="false">
      <c r="A646" s="0" t="str">
        <f aca="false">CONCATENATE("__import__.res_partner_",C646)</f>
        <v>__import__.res_partner_20000010475</v>
      </c>
      <c r="B646" s="2" t="s">
        <v>5939</v>
      </c>
      <c r="C646" s="3" t="s">
        <v>5940</v>
      </c>
      <c r="D646" s="2" t="s">
        <v>5941</v>
      </c>
      <c r="F646" s="3" t="s">
        <v>557</v>
      </c>
      <c r="G646" s="2" t="s">
        <v>31</v>
      </c>
      <c r="H646" s="2" t="s">
        <v>32</v>
      </c>
      <c r="K646" s="2" t="s">
        <v>5942</v>
      </c>
      <c r="L646" s="3" t="s">
        <v>3789</v>
      </c>
      <c r="M646" s="2" t="s">
        <v>5943</v>
      </c>
      <c r="O646" s="2" t="s">
        <v>3645</v>
      </c>
      <c r="P646" s="2" t="s">
        <v>37</v>
      </c>
      <c r="T646" s="2" t="s">
        <v>76</v>
      </c>
      <c r="X646" s="2" t="n">
        <v>10475</v>
      </c>
      <c r="Y646" s="2" t="s">
        <v>678</v>
      </c>
      <c r="Z646" s="3" t="s">
        <v>5944</v>
      </c>
    </row>
    <row r="647" customFormat="false" ht="13.8" hidden="false" customHeight="false" outlineLevel="0" collapsed="false">
      <c r="A647" s="0" t="str">
        <f aca="false">CONCATENATE("__import__.res_partner_",C647)</f>
        <v>__import__.res_partner_20000010476</v>
      </c>
      <c r="B647" s="2" t="s">
        <v>5945</v>
      </c>
      <c r="C647" s="3" t="s">
        <v>5946</v>
      </c>
      <c r="D647" s="2" t="s">
        <v>5947</v>
      </c>
      <c r="F647" s="2" t="s">
        <v>30</v>
      </c>
      <c r="G647" s="2" t="s">
        <v>31</v>
      </c>
      <c r="H647" s="2" t="s">
        <v>32</v>
      </c>
      <c r="K647" s="2" t="s">
        <v>5948</v>
      </c>
      <c r="L647" s="3" t="s">
        <v>2411</v>
      </c>
      <c r="M647" s="2" t="s">
        <v>5949</v>
      </c>
      <c r="O647" s="2" t="s">
        <v>5950</v>
      </c>
      <c r="P647" s="2" t="s">
        <v>37</v>
      </c>
      <c r="Q647" s="2" t="s">
        <v>5951</v>
      </c>
      <c r="R647" s="2" t="s">
        <v>5952</v>
      </c>
      <c r="T647" s="2" t="s">
        <v>40</v>
      </c>
      <c r="X647" s="2" t="n">
        <v>10476</v>
      </c>
      <c r="Y647" s="2" t="s">
        <v>5953</v>
      </c>
      <c r="Z647" s="3" t="s">
        <v>5954</v>
      </c>
    </row>
    <row r="648" customFormat="false" ht="76.1" hidden="false" customHeight="false" outlineLevel="0" collapsed="false">
      <c r="A648" s="0" t="str">
        <f aca="false">CONCATENATE("__import__.res_partner_",C648)</f>
        <v>__import__.res_partner_20000010481</v>
      </c>
      <c r="B648" s="2" t="s">
        <v>5955</v>
      </c>
      <c r="C648" s="3" t="s">
        <v>5956</v>
      </c>
      <c r="D648" s="2" t="s">
        <v>5957</v>
      </c>
      <c r="F648" s="2" t="s">
        <v>30</v>
      </c>
      <c r="G648" s="2" t="s">
        <v>31</v>
      </c>
      <c r="H648" s="2" t="s">
        <v>32</v>
      </c>
      <c r="K648" s="2" t="s">
        <v>5958</v>
      </c>
      <c r="L648" s="3" t="s">
        <v>5959</v>
      </c>
      <c r="M648" s="2" t="s">
        <v>5960</v>
      </c>
      <c r="O648" s="2" t="s">
        <v>5961</v>
      </c>
      <c r="P648" s="2" t="s">
        <v>37</v>
      </c>
      <c r="Q648" s="2" t="s">
        <v>5962</v>
      </c>
      <c r="R648" s="2" t="s">
        <v>5963</v>
      </c>
      <c r="T648" s="2" t="s">
        <v>40</v>
      </c>
      <c r="X648" s="2" t="n">
        <v>10481</v>
      </c>
      <c r="Y648" s="2" t="s">
        <v>5964</v>
      </c>
      <c r="Z648" s="3" t="s">
        <v>5965</v>
      </c>
      <c r="AA648" s="4" t="s">
        <v>5966</v>
      </c>
    </row>
    <row r="649" customFormat="false" ht="13.8" hidden="false" customHeight="false" outlineLevel="0" collapsed="false">
      <c r="A649" s="0" t="str">
        <f aca="false">CONCATENATE("__import__.res_partner_",C649)</f>
        <v>__import__.res_partner_20000010482</v>
      </c>
      <c r="B649" s="2" t="s">
        <v>5967</v>
      </c>
      <c r="C649" s="3" t="s">
        <v>5968</v>
      </c>
      <c r="D649" s="2" t="s">
        <v>5969</v>
      </c>
      <c r="F649" s="2" t="s">
        <v>30</v>
      </c>
      <c r="G649" s="2" t="s">
        <v>1664</v>
      </c>
      <c r="H649" s="2" t="s">
        <v>32</v>
      </c>
      <c r="K649" s="2" t="s">
        <v>5970</v>
      </c>
      <c r="L649" s="3" t="s">
        <v>2763</v>
      </c>
      <c r="M649" s="2" t="s">
        <v>5971</v>
      </c>
      <c r="O649" s="2" t="s">
        <v>3689</v>
      </c>
      <c r="P649" s="2" t="s">
        <v>37</v>
      </c>
      <c r="T649" s="2" t="s">
        <v>76</v>
      </c>
      <c r="X649" s="2" t="n">
        <v>10482</v>
      </c>
      <c r="Y649" s="2" t="s">
        <v>678</v>
      </c>
      <c r="Z649" s="3" t="s">
        <v>5972</v>
      </c>
    </row>
    <row r="650" customFormat="false" ht="13.8" hidden="false" customHeight="false" outlineLevel="0" collapsed="false">
      <c r="A650" s="0" t="str">
        <f aca="false">CONCATENATE("__import__.res_partner_",C650)</f>
        <v>__import__.res_partner_20000010483</v>
      </c>
      <c r="B650" s="2" t="s">
        <v>5973</v>
      </c>
      <c r="C650" s="3" t="s">
        <v>5974</v>
      </c>
      <c r="D650" s="2" t="s">
        <v>5975</v>
      </c>
      <c r="F650" s="2" t="s">
        <v>30</v>
      </c>
      <c r="G650" s="2" t="s">
        <v>31</v>
      </c>
      <c r="H650" s="2" t="s">
        <v>32</v>
      </c>
      <c r="K650" s="2" t="s">
        <v>5976</v>
      </c>
      <c r="L650" s="3" t="s">
        <v>5977</v>
      </c>
      <c r="M650" s="2" t="s">
        <v>5978</v>
      </c>
      <c r="O650" s="2" t="s">
        <v>49</v>
      </c>
      <c r="P650" s="2" t="s">
        <v>37</v>
      </c>
      <c r="Q650" s="2" t="s">
        <v>5979</v>
      </c>
      <c r="R650" s="3" t="s">
        <v>5980</v>
      </c>
      <c r="T650" s="2" t="s">
        <v>108</v>
      </c>
      <c r="X650" s="2" t="n">
        <v>10483</v>
      </c>
      <c r="Y650" s="2" t="s">
        <v>5981</v>
      </c>
      <c r="Z650" s="3" t="s">
        <v>5982</v>
      </c>
    </row>
    <row r="651" customFormat="false" ht="13.8" hidden="false" customHeight="false" outlineLevel="0" collapsed="false">
      <c r="A651" s="0" t="str">
        <f aca="false">CONCATENATE("__import__.res_partner_",C651)</f>
        <v>__import__.res_partner_20000010484</v>
      </c>
      <c r="B651" s="2" t="s">
        <v>5983</v>
      </c>
      <c r="C651" s="3" t="s">
        <v>5984</v>
      </c>
      <c r="D651" s="2" t="s">
        <v>5985</v>
      </c>
      <c r="F651" s="2" t="s">
        <v>30</v>
      </c>
      <c r="G651" s="2" t="s">
        <v>1664</v>
      </c>
      <c r="H651" s="2" t="s">
        <v>32</v>
      </c>
      <c r="K651" s="2" t="s">
        <v>5986</v>
      </c>
      <c r="L651" s="3" t="s">
        <v>2615</v>
      </c>
      <c r="M651" s="2" t="s">
        <v>5987</v>
      </c>
      <c r="O651" s="2" t="s">
        <v>49</v>
      </c>
      <c r="P651" s="2" t="s">
        <v>37</v>
      </c>
      <c r="T651" s="2" t="s">
        <v>108</v>
      </c>
      <c r="X651" s="2" t="n">
        <v>10484</v>
      </c>
      <c r="Y651" s="2" t="s">
        <v>5988</v>
      </c>
      <c r="Z651" s="3" t="s">
        <v>5989</v>
      </c>
    </row>
    <row r="652" customFormat="false" ht="13.8" hidden="false" customHeight="false" outlineLevel="0" collapsed="false">
      <c r="A652" s="0" t="str">
        <f aca="false">CONCATENATE("__import__.res_partner_",C652)</f>
        <v>__import__.res_partner_20000010486</v>
      </c>
      <c r="B652" s="2" t="s">
        <v>5990</v>
      </c>
      <c r="C652" s="3" t="s">
        <v>5991</v>
      </c>
      <c r="D652" s="2" t="s">
        <v>5992</v>
      </c>
      <c r="F652" s="2" t="s">
        <v>30</v>
      </c>
      <c r="G652" s="2" t="s">
        <v>31</v>
      </c>
      <c r="H652" s="2" t="s">
        <v>32</v>
      </c>
      <c r="K652" s="2" t="s">
        <v>5993</v>
      </c>
      <c r="L652" s="3" t="s">
        <v>2868</v>
      </c>
      <c r="M652" s="2" t="s">
        <v>5994</v>
      </c>
      <c r="O652" s="2" t="s">
        <v>2754</v>
      </c>
      <c r="P652" s="2" t="s">
        <v>37</v>
      </c>
      <c r="Q652" s="2" t="s">
        <v>5995</v>
      </c>
      <c r="R652" s="2" t="s">
        <v>5996</v>
      </c>
      <c r="T652" s="2" t="s">
        <v>76</v>
      </c>
      <c r="X652" s="2" t="n">
        <v>10486</v>
      </c>
      <c r="Y652" s="2" t="s">
        <v>5997</v>
      </c>
      <c r="Z652" s="3" t="s">
        <v>5998</v>
      </c>
    </row>
    <row r="653" customFormat="false" ht="13.8" hidden="false" customHeight="false" outlineLevel="0" collapsed="false">
      <c r="A653" s="0" t="str">
        <f aca="false">CONCATENATE("__import__.res_partner_",C653)</f>
        <v>__import__.res_partner_20000010488</v>
      </c>
      <c r="B653" s="2" t="s">
        <v>5999</v>
      </c>
      <c r="C653" s="3" t="s">
        <v>6000</v>
      </c>
      <c r="D653" s="2" t="s">
        <v>6001</v>
      </c>
      <c r="F653" s="2" t="s">
        <v>30</v>
      </c>
      <c r="G653" s="2" t="s">
        <v>1664</v>
      </c>
      <c r="H653" s="2" t="s">
        <v>32</v>
      </c>
      <c r="K653" s="2" t="s">
        <v>6002</v>
      </c>
      <c r="L653" s="3" t="s">
        <v>6003</v>
      </c>
      <c r="M653" s="2" t="s">
        <v>6004</v>
      </c>
      <c r="O653" s="2" t="s">
        <v>6005</v>
      </c>
      <c r="P653" s="2" t="s">
        <v>37</v>
      </c>
      <c r="Q653" s="2" t="s">
        <v>6006</v>
      </c>
      <c r="R653" s="2" t="s">
        <v>6007</v>
      </c>
      <c r="T653" s="2" t="s">
        <v>697</v>
      </c>
      <c r="W653" s="2" t="s">
        <v>6008</v>
      </c>
      <c r="X653" s="2" t="n">
        <v>10488</v>
      </c>
      <c r="Y653" s="2" t="s">
        <v>6009</v>
      </c>
      <c r="Z653" s="3" t="s">
        <v>6010</v>
      </c>
    </row>
    <row r="654" customFormat="false" ht="13.8" hidden="false" customHeight="false" outlineLevel="0" collapsed="false">
      <c r="A654" s="0" t="str">
        <f aca="false">CONCATENATE("__import__.res_partner_",C654)</f>
        <v>__import__.res_partner_20000010489</v>
      </c>
      <c r="B654" s="2" t="s">
        <v>6011</v>
      </c>
      <c r="C654" s="3" t="s">
        <v>6012</v>
      </c>
      <c r="D654" s="2" t="s">
        <v>6013</v>
      </c>
      <c r="F654" s="2" t="s">
        <v>30</v>
      </c>
      <c r="G654" s="2" t="s">
        <v>31</v>
      </c>
      <c r="H654" s="2" t="s">
        <v>32</v>
      </c>
      <c r="K654" s="2" t="s">
        <v>6014</v>
      </c>
      <c r="L654" s="3" t="s">
        <v>6015</v>
      </c>
      <c r="M654" s="2" t="s">
        <v>6016</v>
      </c>
      <c r="O654" s="2" t="s">
        <v>6017</v>
      </c>
      <c r="P654" s="2" t="s">
        <v>37</v>
      </c>
      <c r="Q654" s="2" t="s">
        <v>6018</v>
      </c>
      <c r="R654" s="2" t="s">
        <v>6019</v>
      </c>
      <c r="T654" s="2" t="s">
        <v>40</v>
      </c>
      <c r="X654" s="2" t="n">
        <v>10489</v>
      </c>
      <c r="Y654" s="2" t="s">
        <v>678</v>
      </c>
      <c r="Z654" s="3" t="s">
        <v>6020</v>
      </c>
    </row>
    <row r="655" customFormat="false" ht="13.8" hidden="false" customHeight="false" outlineLevel="0" collapsed="false">
      <c r="A655" s="0" t="str">
        <f aca="false">CONCATENATE("__import__.res_partner_",C655)</f>
        <v>__import__.res_partner_20000010490</v>
      </c>
      <c r="B655" s="2" t="s">
        <v>6021</v>
      </c>
      <c r="C655" s="3" t="s">
        <v>6022</v>
      </c>
      <c r="D655" s="2" t="s">
        <v>6023</v>
      </c>
      <c r="F655" s="2" t="s">
        <v>30</v>
      </c>
      <c r="G655" s="2" t="s">
        <v>1664</v>
      </c>
      <c r="H655" s="2" t="s">
        <v>32</v>
      </c>
      <c r="K655" s="2" t="s">
        <v>6024</v>
      </c>
      <c r="L655" s="3" t="s">
        <v>6025</v>
      </c>
      <c r="M655" s="2" t="s">
        <v>6026</v>
      </c>
      <c r="N655" s="2" t="s">
        <v>6027</v>
      </c>
      <c r="O655" s="2" t="s">
        <v>6028</v>
      </c>
      <c r="P655" s="2" t="s">
        <v>37</v>
      </c>
      <c r="R655" s="3" t="s">
        <v>6029</v>
      </c>
      <c r="T655" s="2" t="s">
        <v>108</v>
      </c>
      <c r="X655" s="2" t="n">
        <v>10490</v>
      </c>
      <c r="Y655" s="2" t="s">
        <v>678</v>
      </c>
      <c r="Z655" s="3" t="s">
        <v>6030</v>
      </c>
    </row>
    <row r="656" customFormat="false" ht="13.8" hidden="false" customHeight="false" outlineLevel="0" collapsed="false">
      <c r="A656" s="0" t="str">
        <f aca="false">CONCATENATE("__import__.res_partner_",C656)</f>
        <v>__import__.res_partner_20000010493</v>
      </c>
      <c r="B656" s="2" t="s">
        <v>6031</v>
      </c>
      <c r="C656" s="3" t="s">
        <v>6032</v>
      </c>
      <c r="D656" s="2" t="s">
        <v>6033</v>
      </c>
      <c r="F656" s="2" t="s">
        <v>30</v>
      </c>
      <c r="G656" s="2" t="s">
        <v>31</v>
      </c>
      <c r="H656" s="2" t="s">
        <v>32</v>
      </c>
      <c r="K656" s="2" t="s">
        <v>6034</v>
      </c>
      <c r="L656" s="3" t="s">
        <v>6035</v>
      </c>
      <c r="M656" s="2" t="s">
        <v>6036</v>
      </c>
      <c r="O656" s="2" t="s">
        <v>6037</v>
      </c>
      <c r="P656" s="2" t="s">
        <v>37</v>
      </c>
      <c r="R656" s="2" t="s">
        <v>6038</v>
      </c>
      <c r="T656" s="2" t="s">
        <v>76</v>
      </c>
      <c r="X656" s="2" t="n">
        <v>10493</v>
      </c>
      <c r="Y656" s="2" t="s">
        <v>6039</v>
      </c>
      <c r="Z656" s="3" t="s">
        <v>6040</v>
      </c>
    </row>
    <row r="657" customFormat="false" ht="13.8" hidden="false" customHeight="false" outlineLevel="0" collapsed="false">
      <c r="A657" s="0" t="str">
        <f aca="false">CONCATENATE("__import__.res_partner_",C657)</f>
        <v>__import__.res_partner_20000010494</v>
      </c>
      <c r="B657" s="2" t="s">
        <v>6041</v>
      </c>
      <c r="C657" s="3" t="s">
        <v>6042</v>
      </c>
      <c r="D657" s="2" t="s">
        <v>6043</v>
      </c>
      <c r="F657" s="2" t="s">
        <v>30</v>
      </c>
      <c r="G657" s="2" t="s">
        <v>31</v>
      </c>
      <c r="H657" s="2" t="s">
        <v>32</v>
      </c>
      <c r="K657" s="2" t="s">
        <v>6044</v>
      </c>
      <c r="L657" s="3" t="s">
        <v>3003</v>
      </c>
      <c r="M657" s="2" t="s">
        <v>6045</v>
      </c>
      <c r="O657" s="2" t="s">
        <v>2754</v>
      </c>
      <c r="P657" s="2" t="s">
        <v>37</v>
      </c>
      <c r="Q657" s="2" t="s">
        <v>6046</v>
      </c>
      <c r="R657" s="2" t="s">
        <v>6047</v>
      </c>
      <c r="T657" s="2" t="s">
        <v>4915</v>
      </c>
      <c r="X657" s="2" t="n">
        <v>10494</v>
      </c>
      <c r="Y657" s="2" t="s">
        <v>6048</v>
      </c>
      <c r="Z657" s="3" t="s">
        <v>6049</v>
      </c>
    </row>
    <row r="658" customFormat="false" ht="13.8" hidden="false" customHeight="false" outlineLevel="0" collapsed="false">
      <c r="A658" s="0" t="str">
        <f aca="false">CONCATENATE("__import__.res_partner_",C658)</f>
        <v>__import__.res_partner_20000010495</v>
      </c>
      <c r="B658" s="2" t="s">
        <v>6050</v>
      </c>
      <c r="C658" s="3" t="s">
        <v>6051</v>
      </c>
      <c r="D658" s="2" t="s">
        <v>6052</v>
      </c>
      <c r="F658" s="2" t="s">
        <v>30</v>
      </c>
      <c r="G658" s="2" t="s">
        <v>31</v>
      </c>
      <c r="H658" s="2" t="s">
        <v>32</v>
      </c>
      <c r="K658" s="2" t="s">
        <v>6053</v>
      </c>
      <c r="L658" s="3" t="s">
        <v>5170</v>
      </c>
      <c r="M658" s="2" t="s">
        <v>6054</v>
      </c>
      <c r="O658" s="2" t="s">
        <v>6055</v>
      </c>
      <c r="P658" s="2" t="s">
        <v>37</v>
      </c>
      <c r="Q658" s="2" t="s">
        <v>38</v>
      </c>
      <c r="R658" s="3" t="s">
        <v>6056</v>
      </c>
      <c r="T658" s="2" t="s">
        <v>97</v>
      </c>
      <c r="X658" s="2" t="n">
        <v>10495</v>
      </c>
      <c r="Y658" s="2" t="s">
        <v>6057</v>
      </c>
      <c r="Z658" s="3" t="s">
        <v>6058</v>
      </c>
    </row>
    <row r="659" customFormat="false" ht="27.75" hidden="false" customHeight="false" outlineLevel="0" collapsed="false">
      <c r="A659" s="0" t="str">
        <f aca="false">CONCATENATE("__import__.res_partner_",C659)</f>
        <v>__import__.res_partner_20000010496</v>
      </c>
      <c r="B659" s="2" t="s">
        <v>6059</v>
      </c>
      <c r="C659" s="3" t="s">
        <v>6060</v>
      </c>
      <c r="D659" s="2" t="s">
        <v>6061</v>
      </c>
      <c r="F659" s="2" t="s">
        <v>30</v>
      </c>
      <c r="G659" s="2" t="s">
        <v>31</v>
      </c>
      <c r="H659" s="2" t="s">
        <v>32</v>
      </c>
      <c r="K659" s="2" t="s">
        <v>6062</v>
      </c>
      <c r="L659" s="2" t="s">
        <v>6063</v>
      </c>
      <c r="M659" s="2" t="s">
        <v>6064</v>
      </c>
      <c r="O659" s="2" t="s">
        <v>6065</v>
      </c>
      <c r="P659" s="2" t="s">
        <v>675</v>
      </c>
      <c r="Q659" s="2" t="s">
        <v>6066</v>
      </c>
      <c r="R659" s="3" t="s">
        <v>6067</v>
      </c>
      <c r="T659" s="2" t="s">
        <v>697</v>
      </c>
      <c r="W659" s="2" t="s">
        <v>6068</v>
      </c>
      <c r="X659" s="2" t="n">
        <v>10496</v>
      </c>
      <c r="Y659" s="2" t="s">
        <v>6069</v>
      </c>
      <c r="Z659" s="3" t="s">
        <v>6070</v>
      </c>
      <c r="AA659" s="4" t="s">
        <v>6071</v>
      </c>
    </row>
    <row r="660" customFormat="false" ht="13.8" hidden="false" customHeight="false" outlineLevel="0" collapsed="false">
      <c r="A660" s="0" t="str">
        <f aca="false">CONCATENATE("__import__.res_partner_",C660)</f>
        <v>__import__.res_partner_20000010497</v>
      </c>
      <c r="B660" s="2" t="s">
        <v>6072</v>
      </c>
      <c r="C660" s="3" t="s">
        <v>6073</v>
      </c>
      <c r="D660" s="2" t="s">
        <v>6074</v>
      </c>
      <c r="F660" s="2" t="s">
        <v>30</v>
      </c>
      <c r="G660" s="2" t="s">
        <v>31</v>
      </c>
      <c r="H660" s="2" t="s">
        <v>32</v>
      </c>
      <c r="K660" s="2" t="s">
        <v>6075</v>
      </c>
      <c r="L660" s="3" t="s">
        <v>5690</v>
      </c>
      <c r="M660" s="2" t="s">
        <v>6076</v>
      </c>
      <c r="O660" s="2" t="s">
        <v>6077</v>
      </c>
      <c r="P660" s="2" t="s">
        <v>37</v>
      </c>
      <c r="Q660" s="2" t="s">
        <v>6078</v>
      </c>
      <c r="R660" s="2" t="s">
        <v>6079</v>
      </c>
      <c r="T660" s="2" t="s">
        <v>959</v>
      </c>
      <c r="X660" s="2" t="n">
        <v>10497</v>
      </c>
      <c r="Y660" s="2" t="s">
        <v>6080</v>
      </c>
      <c r="Z660" s="3" t="s">
        <v>6081</v>
      </c>
    </row>
    <row r="661" customFormat="false" ht="13.8" hidden="false" customHeight="false" outlineLevel="0" collapsed="false">
      <c r="A661" s="0" t="str">
        <f aca="false">CONCATENATE("__import__.res_partner_",C661)</f>
        <v>__import__.res_partner_20000010498</v>
      </c>
      <c r="B661" s="2" t="s">
        <v>6082</v>
      </c>
      <c r="C661" s="3" t="s">
        <v>6083</v>
      </c>
      <c r="D661" s="2" t="s">
        <v>6084</v>
      </c>
      <c r="F661" s="2" t="s">
        <v>30</v>
      </c>
      <c r="G661" s="2" t="s">
        <v>31</v>
      </c>
      <c r="H661" s="2" t="s">
        <v>32</v>
      </c>
      <c r="K661" s="2" t="s">
        <v>6085</v>
      </c>
      <c r="L661" s="3" t="s">
        <v>6086</v>
      </c>
      <c r="M661" s="2" t="s">
        <v>6087</v>
      </c>
      <c r="O661" s="2" t="s">
        <v>6088</v>
      </c>
      <c r="P661" s="2" t="s">
        <v>37</v>
      </c>
      <c r="Q661" s="2" t="s">
        <v>6089</v>
      </c>
      <c r="T661" s="2" t="s">
        <v>76</v>
      </c>
      <c r="V661" s="2" t="s">
        <v>5653</v>
      </c>
      <c r="W661" s="2" t="s">
        <v>6090</v>
      </c>
      <c r="X661" s="2" t="n">
        <v>10498</v>
      </c>
      <c r="Y661" s="2" t="s">
        <v>6091</v>
      </c>
      <c r="Z661" s="3" t="s">
        <v>6092</v>
      </c>
    </row>
    <row r="662" customFormat="false" ht="13.8" hidden="false" customHeight="false" outlineLevel="0" collapsed="false">
      <c r="A662" s="0" t="str">
        <f aca="false">CONCATENATE("__import__.res_partner_",C662)</f>
        <v>__import__.res_partner_20000010499</v>
      </c>
      <c r="B662" s="2" t="s">
        <v>6093</v>
      </c>
      <c r="C662" s="3" t="s">
        <v>6094</v>
      </c>
      <c r="D662" s="2" t="s">
        <v>6095</v>
      </c>
      <c r="F662" s="2" t="s">
        <v>30</v>
      </c>
      <c r="G662" s="2" t="s">
        <v>31</v>
      </c>
      <c r="H662" s="2" t="s">
        <v>32</v>
      </c>
      <c r="K662" s="2" t="s">
        <v>6096</v>
      </c>
      <c r="L662" s="3" t="s">
        <v>316</v>
      </c>
      <c r="M662" s="2" t="s">
        <v>6097</v>
      </c>
      <c r="O662" s="2" t="s">
        <v>36</v>
      </c>
      <c r="P662" s="2" t="s">
        <v>37</v>
      </c>
      <c r="Q662" s="2" t="s">
        <v>232</v>
      </c>
      <c r="R662" s="3" t="s">
        <v>6098</v>
      </c>
      <c r="T662" s="2" t="s">
        <v>40</v>
      </c>
      <c r="X662" s="2" t="n">
        <v>10499</v>
      </c>
      <c r="Y662" s="2" t="s">
        <v>6099</v>
      </c>
      <c r="Z662" s="3" t="s">
        <v>6100</v>
      </c>
    </row>
    <row r="663" customFormat="false" ht="13.8" hidden="false" customHeight="false" outlineLevel="0" collapsed="false">
      <c r="A663" s="0" t="str">
        <f aca="false">CONCATENATE("__import__.res_partner_",C663)</f>
        <v>__import__.res_partner_20000010500</v>
      </c>
      <c r="B663" s="2" t="s">
        <v>6101</v>
      </c>
      <c r="C663" s="3" t="s">
        <v>6102</v>
      </c>
      <c r="D663" s="2" t="s">
        <v>6103</v>
      </c>
      <c r="F663" s="2" t="s">
        <v>30</v>
      </c>
      <c r="G663" s="2" t="s">
        <v>31</v>
      </c>
      <c r="H663" s="2" t="s">
        <v>32</v>
      </c>
      <c r="K663" s="2" t="s">
        <v>6104</v>
      </c>
      <c r="L663" s="3" t="s">
        <v>4812</v>
      </c>
      <c r="M663" s="2" t="s">
        <v>6105</v>
      </c>
      <c r="O663" s="2" t="s">
        <v>6106</v>
      </c>
      <c r="P663" s="2" t="s">
        <v>37</v>
      </c>
      <c r="T663" s="2" t="s">
        <v>76</v>
      </c>
      <c r="X663" s="2" t="n">
        <v>10500</v>
      </c>
      <c r="Y663" s="3" t="s">
        <v>6107</v>
      </c>
      <c r="Z663" s="3" t="s">
        <v>6108</v>
      </c>
    </row>
    <row r="664" customFormat="false" ht="13.8" hidden="false" customHeight="false" outlineLevel="0" collapsed="false">
      <c r="A664" s="0" t="str">
        <f aca="false">CONCATENATE("__import__.res_partner_",C664)</f>
        <v>__import__.res_partner_20000010501</v>
      </c>
      <c r="B664" s="2" t="s">
        <v>6109</v>
      </c>
      <c r="C664" s="3" t="s">
        <v>6110</v>
      </c>
      <c r="D664" s="2" t="s">
        <v>6111</v>
      </c>
      <c r="F664" s="2" t="s">
        <v>30</v>
      </c>
      <c r="G664" s="2" t="s">
        <v>31</v>
      </c>
      <c r="H664" s="2" t="s">
        <v>32</v>
      </c>
      <c r="K664" s="2" t="s">
        <v>6112</v>
      </c>
      <c r="L664" s="2" t="s">
        <v>6113</v>
      </c>
      <c r="M664" s="2" t="s">
        <v>6114</v>
      </c>
      <c r="O664" s="2" t="s">
        <v>6115</v>
      </c>
      <c r="P664" s="2" t="s">
        <v>675</v>
      </c>
      <c r="Q664" s="2" t="s">
        <v>6116</v>
      </c>
      <c r="R664" s="3" t="s">
        <v>6117</v>
      </c>
      <c r="T664" s="2" t="s">
        <v>697</v>
      </c>
      <c r="X664" s="2" t="n">
        <v>10501</v>
      </c>
      <c r="Y664" s="2" t="s">
        <v>6118</v>
      </c>
      <c r="Z664" s="3" t="s">
        <v>6119</v>
      </c>
    </row>
    <row r="665" customFormat="false" ht="13.8" hidden="false" customHeight="false" outlineLevel="0" collapsed="false">
      <c r="A665" s="0" t="str">
        <f aca="false">CONCATENATE("__import__.res_partner_",C665)</f>
        <v>__import__.res_partner_20000010502</v>
      </c>
      <c r="B665" s="2" t="s">
        <v>6120</v>
      </c>
      <c r="C665" s="3" t="s">
        <v>6121</v>
      </c>
      <c r="D665" s="2" t="s">
        <v>6122</v>
      </c>
      <c r="F665" s="2" t="s">
        <v>30</v>
      </c>
      <c r="G665" s="2" t="s">
        <v>1664</v>
      </c>
      <c r="H665" s="2" t="s">
        <v>32</v>
      </c>
      <c r="K665" s="2" t="s">
        <v>6123</v>
      </c>
      <c r="L665" s="3" t="s">
        <v>4812</v>
      </c>
      <c r="M665" s="2" t="s">
        <v>6124</v>
      </c>
      <c r="O665" s="2" t="s">
        <v>705</v>
      </c>
      <c r="P665" s="2" t="s">
        <v>37</v>
      </c>
      <c r="T665" s="2" t="s">
        <v>76</v>
      </c>
      <c r="X665" s="2" t="n">
        <v>10502</v>
      </c>
      <c r="Y665" s="2" t="s">
        <v>678</v>
      </c>
      <c r="Z665" s="3" t="s">
        <v>6125</v>
      </c>
    </row>
    <row r="666" customFormat="false" ht="13.8" hidden="false" customHeight="false" outlineLevel="0" collapsed="false">
      <c r="A666" s="0" t="str">
        <f aca="false">CONCATENATE("__import__.res_partner_",C666)</f>
        <v>__import__.res_partner_20000010503</v>
      </c>
      <c r="B666" s="2" t="s">
        <v>6126</v>
      </c>
      <c r="C666" s="3" t="s">
        <v>6127</v>
      </c>
      <c r="D666" s="2" t="s">
        <v>6128</v>
      </c>
      <c r="F666" s="2" t="s">
        <v>30</v>
      </c>
      <c r="G666" s="2" t="s">
        <v>31</v>
      </c>
      <c r="H666" s="2" t="s">
        <v>32</v>
      </c>
      <c r="K666" s="2" t="s">
        <v>6129</v>
      </c>
      <c r="L666" s="3" t="s">
        <v>4812</v>
      </c>
      <c r="M666" s="2" t="s">
        <v>6130</v>
      </c>
      <c r="O666" s="2" t="s">
        <v>6131</v>
      </c>
      <c r="P666" s="2" t="s">
        <v>37</v>
      </c>
      <c r="R666" s="3" t="s">
        <v>6132</v>
      </c>
      <c r="T666" s="2" t="s">
        <v>76</v>
      </c>
      <c r="X666" s="2" t="n">
        <v>10503</v>
      </c>
      <c r="Y666" s="2" t="s">
        <v>6133</v>
      </c>
      <c r="Z666" s="3" t="s">
        <v>6134</v>
      </c>
    </row>
    <row r="667" customFormat="false" ht="13.8" hidden="false" customHeight="false" outlineLevel="0" collapsed="false">
      <c r="A667" s="0" t="str">
        <f aca="false">CONCATENATE("__import__.res_partner_",C667)</f>
        <v>__import__.res_partner_20000010504</v>
      </c>
      <c r="B667" s="2" t="s">
        <v>6135</v>
      </c>
      <c r="C667" s="3" t="s">
        <v>6136</v>
      </c>
      <c r="D667" s="2" t="s">
        <v>6137</v>
      </c>
      <c r="F667" s="2" t="s">
        <v>30</v>
      </c>
      <c r="G667" s="2" t="s">
        <v>31</v>
      </c>
      <c r="H667" s="2" t="s">
        <v>32</v>
      </c>
      <c r="K667" s="2" t="s">
        <v>6138</v>
      </c>
      <c r="L667" s="3" t="s">
        <v>6139</v>
      </c>
      <c r="M667" s="2" t="s">
        <v>6140</v>
      </c>
      <c r="O667" s="2" t="s">
        <v>4994</v>
      </c>
      <c r="P667" s="2" t="s">
        <v>37</v>
      </c>
      <c r="Q667" s="2" t="s">
        <v>6141</v>
      </c>
      <c r="R667" s="2" t="s">
        <v>6142</v>
      </c>
      <c r="T667" s="2" t="s">
        <v>697</v>
      </c>
      <c r="X667" s="2" t="n">
        <v>10504</v>
      </c>
      <c r="Y667" s="2" t="s">
        <v>678</v>
      </c>
      <c r="Z667" s="3" t="s">
        <v>6143</v>
      </c>
    </row>
    <row r="668" customFormat="false" ht="13.8" hidden="false" customHeight="false" outlineLevel="0" collapsed="false">
      <c r="A668" s="0" t="str">
        <f aca="false">CONCATENATE("__import__.res_partner_",C668)</f>
        <v>__import__.res_partner_20000010505</v>
      </c>
      <c r="B668" s="2" t="s">
        <v>6144</v>
      </c>
      <c r="C668" s="3" t="s">
        <v>6145</v>
      </c>
      <c r="D668" s="2" t="s">
        <v>6146</v>
      </c>
      <c r="F668" s="2" t="s">
        <v>30</v>
      </c>
      <c r="G668" s="2" t="s">
        <v>1664</v>
      </c>
      <c r="H668" s="2" t="s">
        <v>32</v>
      </c>
      <c r="K668" s="2" t="s">
        <v>6147</v>
      </c>
      <c r="L668" s="3" t="s">
        <v>4812</v>
      </c>
      <c r="M668" s="2" t="s">
        <v>6148</v>
      </c>
      <c r="O668" s="2" t="s">
        <v>3689</v>
      </c>
      <c r="P668" s="2" t="s">
        <v>37</v>
      </c>
      <c r="Q668" s="2" t="s">
        <v>6149</v>
      </c>
      <c r="R668" s="2" t="s">
        <v>6150</v>
      </c>
      <c r="T668" s="2" t="s">
        <v>697</v>
      </c>
      <c r="X668" s="2" t="n">
        <v>10505</v>
      </c>
      <c r="Y668" s="2" t="s">
        <v>678</v>
      </c>
      <c r="Z668" s="3" t="s">
        <v>6151</v>
      </c>
    </row>
    <row r="669" customFormat="false" ht="13.8" hidden="false" customHeight="false" outlineLevel="0" collapsed="false">
      <c r="A669" s="0" t="str">
        <f aca="false">CONCATENATE("__import__.res_partner_",C669)</f>
        <v>__import__.res_partner_20000010506</v>
      </c>
      <c r="B669" s="2" t="s">
        <v>6152</v>
      </c>
      <c r="C669" s="3" t="s">
        <v>6153</v>
      </c>
      <c r="D669" s="2" t="s">
        <v>6154</v>
      </c>
      <c r="F669" s="2" t="s">
        <v>30</v>
      </c>
      <c r="G669" s="2" t="s">
        <v>1664</v>
      </c>
      <c r="H669" s="2" t="s">
        <v>32</v>
      </c>
      <c r="K669" s="2" t="s">
        <v>6155</v>
      </c>
      <c r="L669" s="3" t="s">
        <v>2763</v>
      </c>
      <c r="M669" s="2" t="s">
        <v>6156</v>
      </c>
      <c r="O669" s="2" t="s">
        <v>3689</v>
      </c>
      <c r="P669" s="2" t="s">
        <v>37</v>
      </c>
      <c r="R669" s="3" t="s">
        <v>6157</v>
      </c>
      <c r="T669" s="2" t="s">
        <v>108</v>
      </c>
      <c r="X669" s="2" t="n">
        <v>10506</v>
      </c>
      <c r="Y669" s="2" t="s">
        <v>678</v>
      </c>
      <c r="Z669" s="3" t="s">
        <v>6158</v>
      </c>
    </row>
    <row r="670" customFormat="false" ht="13.8" hidden="false" customHeight="false" outlineLevel="0" collapsed="false">
      <c r="A670" s="0" t="str">
        <f aca="false">CONCATENATE("__import__.res_partner_",C670)</f>
        <v>__import__.res_partner_20000010507</v>
      </c>
      <c r="B670" s="2" t="s">
        <v>6159</v>
      </c>
      <c r="C670" s="3" t="s">
        <v>6160</v>
      </c>
      <c r="D670" s="2" t="s">
        <v>6161</v>
      </c>
      <c r="F670" s="2" t="s">
        <v>30</v>
      </c>
      <c r="G670" s="2" t="s">
        <v>31</v>
      </c>
      <c r="H670" s="2" t="s">
        <v>32</v>
      </c>
      <c r="K670" s="2" t="s">
        <v>6162</v>
      </c>
      <c r="L670" s="3" t="s">
        <v>977</v>
      </c>
      <c r="M670" s="2" t="s">
        <v>6163</v>
      </c>
      <c r="N670" s="2" t="s">
        <v>6164</v>
      </c>
      <c r="O670" s="2" t="s">
        <v>904</v>
      </c>
      <c r="P670" s="2" t="s">
        <v>37</v>
      </c>
      <c r="Q670" s="2" t="s">
        <v>38</v>
      </c>
      <c r="R670" s="2" t="s">
        <v>6165</v>
      </c>
      <c r="T670" s="2" t="s">
        <v>40</v>
      </c>
      <c r="X670" s="2" t="n">
        <v>10507</v>
      </c>
      <c r="Y670" s="2" t="s">
        <v>6166</v>
      </c>
      <c r="Z670" s="3" t="s">
        <v>6167</v>
      </c>
    </row>
    <row r="671" customFormat="false" ht="13.8" hidden="false" customHeight="false" outlineLevel="0" collapsed="false">
      <c r="A671" s="0" t="str">
        <f aca="false">CONCATENATE("__import__.res_partner_",C671)</f>
        <v>__import__.res_partner_20000010508</v>
      </c>
      <c r="B671" s="2" t="s">
        <v>6168</v>
      </c>
      <c r="C671" s="3" t="s">
        <v>6169</v>
      </c>
      <c r="D671" s="2" t="s">
        <v>6170</v>
      </c>
      <c r="F671" s="2" t="s">
        <v>30</v>
      </c>
      <c r="G671" s="2" t="s">
        <v>1664</v>
      </c>
      <c r="H671" s="2" t="s">
        <v>32</v>
      </c>
      <c r="K671" s="2" t="s">
        <v>6171</v>
      </c>
      <c r="L671" s="3" t="s">
        <v>6172</v>
      </c>
      <c r="M671" s="2" t="s">
        <v>6173</v>
      </c>
      <c r="O671" s="2" t="s">
        <v>6174</v>
      </c>
      <c r="P671" s="2" t="s">
        <v>37</v>
      </c>
      <c r="T671" s="2" t="s">
        <v>108</v>
      </c>
      <c r="X671" s="2" t="n">
        <v>10508</v>
      </c>
      <c r="Y671" s="2" t="s">
        <v>678</v>
      </c>
      <c r="Z671" s="3" t="s">
        <v>6175</v>
      </c>
    </row>
    <row r="672" customFormat="false" ht="13.8" hidden="false" customHeight="false" outlineLevel="0" collapsed="false">
      <c r="A672" s="0" t="str">
        <f aca="false">CONCATENATE("__import__.res_partner_",C672)</f>
        <v>__import__.res_partner_20000010509</v>
      </c>
      <c r="B672" s="2" t="s">
        <v>6176</v>
      </c>
      <c r="C672" s="3" t="s">
        <v>6177</v>
      </c>
      <c r="D672" s="2" t="s">
        <v>6178</v>
      </c>
      <c r="F672" s="2" t="s">
        <v>30</v>
      </c>
      <c r="G672" s="2" t="s">
        <v>1664</v>
      </c>
      <c r="H672" s="2" t="s">
        <v>32</v>
      </c>
      <c r="K672" s="2" t="s">
        <v>6179</v>
      </c>
      <c r="L672" s="3" t="s">
        <v>2799</v>
      </c>
      <c r="M672" s="2" t="s">
        <v>6180</v>
      </c>
      <c r="O672" s="2" t="s">
        <v>2801</v>
      </c>
      <c r="P672" s="2" t="s">
        <v>37</v>
      </c>
      <c r="Q672" s="2" t="s">
        <v>6181</v>
      </c>
      <c r="R672" s="2" t="s">
        <v>6182</v>
      </c>
      <c r="T672" s="2" t="s">
        <v>76</v>
      </c>
      <c r="X672" s="2" t="n">
        <v>10509</v>
      </c>
      <c r="Y672" s="2" t="s">
        <v>678</v>
      </c>
      <c r="Z672" s="3" t="s">
        <v>6183</v>
      </c>
    </row>
    <row r="673" customFormat="false" ht="13.8" hidden="false" customHeight="false" outlineLevel="0" collapsed="false">
      <c r="A673" s="0" t="str">
        <f aca="false">CONCATENATE("__import__.res_partner_",C673)</f>
        <v>__import__.res_partner_20000010510</v>
      </c>
      <c r="B673" s="2" t="s">
        <v>6184</v>
      </c>
      <c r="C673" s="3" t="s">
        <v>6185</v>
      </c>
      <c r="D673" s="2" t="s">
        <v>6186</v>
      </c>
      <c r="F673" s="2" t="s">
        <v>30</v>
      </c>
      <c r="G673" s="2" t="s">
        <v>31</v>
      </c>
      <c r="H673" s="2" t="s">
        <v>32</v>
      </c>
      <c r="K673" s="2" t="s">
        <v>6187</v>
      </c>
      <c r="L673" s="3" t="s">
        <v>3861</v>
      </c>
      <c r="M673" s="2" t="s">
        <v>6188</v>
      </c>
      <c r="O673" s="2" t="s">
        <v>2754</v>
      </c>
      <c r="P673" s="2" t="s">
        <v>37</v>
      </c>
      <c r="Q673" s="2" t="s">
        <v>6189</v>
      </c>
      <c r="R673" s="2" t="s">
        <v>6190</v>
      </c>
      <c r="T673" s="2" t="s">
        <v>697</v>
      </c>
      <c r="X673" s="2" t="n">
        <v>10510</v>
      </c>
      <c r="Y673" s="2" t="s">
        <v>678</v>
      </c>
      <c r="Z673" s="3" t="s">
        <v>6191</v>
      </c>
    </row>
    <row r="674" customFormat="false" ht="13.8" hidden="false" customHeight="false" outlineLevel="0" collapsed="false">
      <c r="A674" s="0" t="str">
        <f aca="false">CONCATENATE("__import__.res_partner_",C674)</f>
        <v>__import__.res_partner_20000010511</v>
      </c>
      <c r="B674" s="2" t="s">
        <v>6192</v>
      </c>
      <c r="C674" s="3" t="s">
        <v>6193</v>
      </c>
      <c r="D674" s="2" t="s">
        <v>6194</v>
      </c>
      <c r="F674" s="3" t="s">
        <v>557</v>
      </c>
      <c r="G674" s="2" t="s">
        <v>31</v>
      </c>
      <c r="H674" s="2" t="s">
        <v>32</v>
      </c>
      <c r="K674" s="2" t="s">
        <v>6195</v>
      </c>
      <c r="L674" s="3" t="s">
        <v>2799</v>
      </c>
      <c r="M674" s="2" t="s">
        <v>6196</v>
      </c>
      <c r="O674" s="2" t="s">
        <v>2801</v>
      </c>
      <c r="P674" s="2" t="s">
        <v>37</v>
      </c>
      <c r="R674" s="2" t="s">
        <v>6197</v>
      </c>
      <c r="T674" s="2" t="s">
        <v>76</v>
      </c>
      <c r="X674" s="2" t="n">
        <v>10511</v>
      </c>
      <c r="Y674" s="2" t="s">
        <v>6198</v>
      </c>
      <c r="Z674" s="3" t="s">
        <v>6199</v>
      </c>
    </row>
    <row r="675" customFormat="false" ht="28.5" hidden="false" customHeight="false" outlineLevel="0" collapsed="false">
      <c r="A675" s="0" t="str">
        <f aca="false">CONCATENATE("__import__.res_partner_",C675)</f>
        <v>__import__.res_partner_20000010512</v>
      </c>
      <c r="B675" s="2" t="s">
        <v>6200</v>
      </c>
      <c r="C675" s="3" t="s">
        <v>6201</v>
      </c>
      <c r="D675" s="2" t="s">
        <v>6202</v>
      </c>
      <c r="F675" s="2" t="s">
        <v>30</v>
      </c>
      <c r="G675" s="2" t="s">
        <v>31</v>
      </c>
      <c r="H675" s="2" t="s">
        <v>32</v>
      </c>
      <c r="K675" s="2" t="s">
        <v>6203</v>
      </c>
      <c r="L675" s="3" t="s">
        <v>6204</v>
      </c>
      <c r="M675" s="2" t="s">
        <v>6205</v>
      </c>
      <c r="O675" s="2" t="s">
        <v>6206</v>
      </c>
      <c r="P675" s="2" t="s">
        <v>37</v>
      </c>
      <c r="Q675" s="2" t="s">
        <v>6207</v>
      </c>
      <c r="R675" s="3" t="s">
        <v>6208</v>
      </c>
      <c r="T675" s="2" t="s">
        <v>959</v>
      </c>
      <c r="X675" s="2" t="n">
        <v>10512</v>
      </c>
      <c r="Y675" s="2" t="s">
        <v>678</v>
      </c>
      <c r="Z675" s="3" t="s">
        <v>6209</v>
      </c>
      <c r="AA675" s="4" t="s">
        <v>6210</v>
      </c>
    </row>
    <row r="676" customFormat="false" ht="13.8" hidden="false" customHeight="false" outlineLevel="0" collapsed="false">
      <c r="A676" s="0" t="str">
        <f aca="false">CONCATENATE("__import__.res_partner_",C676)</f>
        <v>__import__.res_partner_20000010514</v>
      </c>
      <c r="B676" s="2" t="s">
        <v>6211</v>
      </c>
      <c r="C676" s="3" t="s">
        <v>6212</v>
      </c>
      <c r="D676" s="2" t="s">
        <v>6213</v>
      </c>
      <c r="F676" s="2" t="s">
        <v>30</v>
      </c>
      <c r="G676" s="2" t="s">
        <v>31</v>
      </c>
      <c r="H676" s="2" t="s">
        <v>32</v>
      </c>
      <c r="K676" s="2" t="s">
        <v>6214</v>
      </c>
      <c r="L676" s="3" t="s">
        <v>6215</v>
      </c>
      <c r="M676" s="2" t="s">
        <v>6216</v>
      </c>
      <c r="O676" s="2" t="s">
        <v>49</v>
      </c>
      <c r="P676" s="2" t="s">
        <v>37</v>
      </c>
      <c r="R676" s="3" t="s">
        <v>6217</v>
      </c>
      <c r="T676" s="2" t="s">
        <v>697</v>
      </c>
      <c r="X676" s="2" t="n">
        <v>10514</v>
      </c>
      <c r="Y676" s="2" t="s">
        <v>678</v>
      </c>
      <c r="Z676" s="3" t="s">
        <v>6218</v>
      </c>
    </row>
    <row r="677" customFormat="false" ht="13.8" hidden="false" customHeight="false" outlineLevel="0" collapsed="false">
      <c r="A677" s="0" t="str">
        <f aca="false">CONCATENATE("__import__.res_partner_",C677)</f>
        <v>__import__.res_partner_20000010516</v>
      </c>
      <c r="B677" s="2" t="s">
        <v>6219</v>
      </c>
      <c r="C677" s="3" t="s">
        <v>6220</v>
      </c>
      <c r="D677" s="2" t="s">
        <v>6221</v>
      </c>
      <c r="F677" s="2" t="s">
        <v>30</v>
      </c>
      <c r="G677" s="2" t="s">
        <v>31</v>
      </c>
      <c r="H677" s="2" t="s">
        <v>32</v>
      </c>
      <c r="K677" s="2" t="s">
        <v>6222</v>
      </c>
      <c r="L677" s="2" t="s">
        <v>6223</v>
      </c>
      <c r="M677" s="2" t="s">
        <v>6224</v>
      </c>
      <c r="O677" s="2" t="s">
        <v>6225</v>
      </c>
      <c r="P677" s="2" t="s">
        <v>675</v>
      </c>
      <c r="Q677" s="2" t="s">
        <v>6226</v>
      </c>
      <c r="R677" s="3" t="s">
        <v>6227</v>
      </c>
      <c r="T677" s="2" t="s">
        <v>697</v>
      </c>
      <c r="X677" s="2" t="n">
        <v>10516</v>
      </c>
      <c r="Y677" s="2" t="s">
        <v>6228</v>
      </c>
      <c r="Z677" s="3" t="s">
        <v>6229</v>
      </c>
    </row>
    <row r="678" customFormat="false" ht="13.8" hidden="false" customHeight="false" outlineLevel="0" collapsed="false">
      <c r="A678" s="0" t="str">
        <f aca="false">CONCATENATE("__import__.res_partner_",C678)</f>
        <v>__import__.res_partner_20000010517</v>
      </c>
      <c r="B678" s="2" t="s">
        <v>6230</v>
      </c>
      <c r="C678" s="3" t="s">
        <v>6231</v>
      </c>
      <c r="D678" s="2" t="s">
        <v>6232</v>
      </c>
      <c r="F678" s="2" t="s">
        <v>30</v>
      </c>
      <c r="G678" s="2" t="s">
        <v>31</v>
      </c>
      <c r="H678" s="2" t="s">
        <v>32</v>
      </c>
      <c r="K678" s="2" t="s">
        <v>6233</v>
      </c>
      <c r="L678" s="3" t="s">
        <v>6234</v>
      </c>
      <c r="M678" s="2" t="s">
        <v>6235</v>
      </c>
      <c r="O678" s="2" t="s">
        <v>6236</v>
      </c>
      <c r="P678" s="2" t="s">
        <v>37</v>
      </c>
      <c r="T678" s="2" t="s">
        <v>108</v>
      </c>
      <c r="X678" s="2" t="n">
        <v>10517</v>
      </c>
      <c r="Y678" s="2" t="s">
        <v>6237</v>
      </c>
      <c r="Z678" s="3" t="s">
        <v>6238</v>
      </c>
    </row>
    <row r="679" customFormat="false" ht="13.8" hidden="false" customHeight="false" outlineLevel="0" collapsed="false">
      <c r="A679" s="0" t="str">
        <f aca="false">CONCATENATE("__import__.res_partner_",C679)</f>
        <v>__import__.res_partner_20000010518</v>
      </c>
      <c r="B679" s="2" t="s">
        <v>6239</v>
      </c>
      <c r="C679" s="3" t="s">
        <v>6240</v>
      </c>
      <c r="D679" s="2" t="s">
        <v>6241</v>
      </c>
      <c r="F679" s="2" t="s">
        <v>30</v>
      </c>
      <c r="G679" s="2" t="s">
        <v>1664</v>
      </c>
      <c r="H679" s="2" t="s">
        <v>32</v>
      </c>
      <c r="K679" s="2" t="s">
        <v>6242</v>
      </c>
      <c r="L679" s="3" t="s">
        <v>6243</v>
      </c>
      <c r="M679" s="2" t="s">
        <v>6244</v>
      </c>
      <c r="O679" s="2" t="s">
        <v>5547</v>
      </c>
      <c r="P679" s="2" t="s">
        <v>37</v>
      </c>
      <c r="T679" s="2" t="s">
        <v>76</v>
      </c>
      <c r="X679" s="2" t="n">
        <v>10518</v>
      </c>
      <c r="Y679" s="2" t="s">
        <v>6245</v>
      </c>
      <c r="Z679" s="3" t="s">
        <v>6246</v>
      </c>
    </row>
    <row r="680" customFormat="false" ht="13.8" hidden="false" customHeight="false" outlineLevel="0" collapsed="false">
      <c r="A680" s="0" t="str">
        <f aca="false">CONCATENATE("__import__.res_partner_",C680)</f>
        <v>__import__.res_partner_20000010519</v>
      </c>
      <c r="B680" s="2" t="s">
        <v>6247</v>
      </c>
      <c r="C680" s="3" t="s">
        <v>6248</v>
      </c>
      <c r="D680" s="2" t="s">
        <v>6249</v>
      </c>
      <c r="F680" s="2" t="s">
        <v>30</v>
      </c>
      <c r="G680" s="2" t="s">
        <v>31</v>
      </c>
      <c r="H680" s="2" t="s">
        <v>32</v>
      </c>
      <c r="K680" s="2" t="s">
        <v>6250</v>
      </c>
      <c r="L680" s="3" t="s">
        <v>4822</v>
      </c>
      <c r="M680" s="2" t="s">
        <v>6251</v>
      </c>
      <c r="O680" s="2" t="s">
        <v>3689</v>
      </c>
      <c r="P680" s="2" t="s">
        <v>37</v>
      </c>
      <c r="T680" s="2" t="s">
        <v>76</v>
      </c>
      <c r="X680" s="2" t="n">
        <v>10519</v>
      </c>
      <c r="Y680" s="2" t="s">
        <v>678</v>
      </c>
      <c r="Z680" s="3" t="s">
        <v>6252</v>
      </c>
    </row>
    <row r="681" customFormat="false" ht="13.8" hidden="false" customHeight="false" outlineLevel="0" collapsed="false">
      <c r="A681" s="0" t="str">
        <f aca="false">CONCATENATE("__import__.res_partner_",C681)</f>
        <v>__import__.res_partner_20000010520</v>
      </c>
      <c r="B681" s="2" t="s">
        <v>6253</v>
      </c>
      <c r="C681" s="3" t="s">
        <v>6254</v>
      </c>
      <c r="D681" s="2" t="s">
        <v>6255</v>
      </c>
      <c r="F681" s="2" t="s">
        <v>30</v>
      </c>
      <c r="G681" s="2" t="s">
        <v>1664</v>
      </c>
      <c r="H681" s="2" t="s">
        <v>32</v>
      </c>
      <c r="K681" s="2" t="s">
        <v>6256</v>
      </c>
      <c r="L681" s="3" t="s">
        <v>5815</v>
      </c>
      <c r="M681" s="2" t="s">
        <v>6257</v>
      </c>
      <c r="O681" s="2" t="s">
        <v>4143</v>
      </c>
      <c r="P681" s="2" t="s">
        <v>37</v>
      </c>
      <c r="R681" s="2" t="s">
        <v>6258</v>
      </c>
      <c r="T681" s="2" t="s">
        <v>76</v>
      </c>
      <c r="X681" s="2" t="n">
        <v>10520</v>
      </c>
      <c r="Y681" s="2" t="s">
        <v>678</v>
      </c>
      <c r="Z681" s="3" t="s">
        <v>6259</v>
      </c>
    </row>
    <row r="682" customFormat="false" ht="13.8" hidden="false" customHeight="false" outlineLevel="0" collapsed="false">
      <c r="A682" s="0" t="str">
        <f aca="false">CONCATENATE("__import__.res_partner_",C682)</f>
        <v>__import__.res_partner_20000010521</v>
      </c>
      <c r="B682" s="2" t="s">
        <v>6260</v>
      </c>
      <c r="C682" s="3" t="s">
        <v>6261</v>
      </c>
      <c r="D682" s="2" t="s">
        <v>6262</v>
      </c>
      <c r="F682" s="2" t="s">
        <v>30</v>
      </c>
      <c r="G682" s="2" t="s">
        <v>1664</v>
      </c>
      <c r="H682" s="2" t="s">
        <v>32</v>
      </c>
      <c r="K682" s="2" t="s">
        <v>6263</v>
      </c>
      <c r="L682" s="3" t="s">
        <v>6264</v>
      </c>
      <c r="M682" s="2" t="s">
        <v>6265</v>
      </c>
      <c r="N682" s="2" t="s">
        <v>6266</v>
      </c>
      <c r="O682" s="2" t="s">
        <v>6267</v>
      </c>
      <c r="P682" s="2" t="s">
        <v>37</v>
      </c>
      <c r="Q682" s="2" t="s">
        <v>6268</v>
      </c>
      <c r="R682" s="2" t="s">
        <v>6269</v>
      </c>
      <c r="T682" s="2" t="s">
        <v>697</v>
      </c>
      <c r="X682" s="2" t="n">
        <v>10521</v>
      </c>
      <c r="Y682" s="2" t="s">
        <v>6270</v>
      </c>
      <c r="Z682" s="3" t="s">
        <v>6271</v>
      </c>
    </row>
    <row r="683" customFormat="false" ht="13.8" hidden="false" customHeight="false" outlineLevel="0" collapsed="false">
      <c r="A683" s="0" t="str">
        <f aca="false">CONCATENATE("__import__.res_partner_",C683)</f>
        <v>__import__.res_partner_20000010522</v>
      </c>
      <c r="B683" s="2" t="s">
        <v>6272</v>
      </c>
      <c r="C683" s="3" t="s">
        <v>6273</v>
      </c>
      <c r="D683" s="2" t="s">
        <v>6274</v>
      </c>
      <c r="F683" s="2" t="s">
        <v>30</v>
      </c>
      <c r="G683" s="2" t="s">
        <v>1664</v>
      </c>
      <c r="H683" s="2" t="s">
        <v>32</v>
      </c>
      <c r="K683" s="2" t="s">
        <v>6275</v>
      </c>
      <c r="L683" s="3" t="s">
        <v>5126</v>
      </c>
      <c r="M683" s="2" t="s">
        <v>6276</v>
      </c>
      <c r="O683" s="2" t="s">
        <v>4002</v>
      </c>
      <c r="P683" s="2" t="s">
        <v>37</v>
      </c>
      <c r="R683" s="2" t="s">
        <v>6277</v>
      </c>
      <c r="T683" s="2" t="s">
        <v>76</v>
      </c>
      <c r="X683" s="2" t="n">
        <v>10522</v>
      </c>
      <c r="Y683" s="2" t="s">
        <v>678</v>
      </c>
      <c r="Z683" s="3" t="s">
        <v>6278</v>
      </c>
    </row>
    <row r="684" customFormat="false" ht="13.8" hidden="false" customHeight="false" outlineLevel="0" collapsed="false">
      <c r="A684" s="0" t="str">
        <f aca="false">CONCATENATE("__import__.res_partner_",C684)</f>
        <v>__import__.res_partner_20000010523</v>
      </c>
      <c r="B684" s="2" t="s">
        <v>6279</v>
      </c>
      <c r="C684" s="3" t="s">
        <v>6280</v>
      </c>
      <c r="D684" s="2" t="s">
        <v>6281</v>
      </c>
      <c r="F684" s="2" t="s">
        <v>30</v>
      </c>
      <c r="G684" s="2" t="s">
        <v>1664</v>
      </c>
      <c r="H684" s="2" t="s">
        <v>32</v>
      </c>
      <c r="K684" s="2" t="s">
        <v>6282</v>
      </c>
      <c r="L684" s="3" t="s">
        <v>2940</v>
      </c>
      <c r="M684" s="2" t="s">
        <v>6283</v>
      </c>
      <c r="O684" s="2" t="s">
        <v>2709</v>
      </c>
      <c r="P684" s="2" t="s">
        <v>37</v>
      </c>
      <c r="R684" s="2" t="s">
        <v>5884</v>
      </c>
      <c r="T684" s="2" t="s">
        <v>697</v>
      </c>
      <c r="X684" s="2" t="n">
        <v>10523</v>
      </c>
      <c r="Y684" s="2" t="s">
        <v>678</v>
      </c>
      <c r="Z684" s="3" t="s">
        <v>6284</v>
      </c>
    </row>
    <row r="685" customFormat="false" ht="13.8" hidden="false" customHeight="false" outlineLevel="0" collapsed="false">
      <c r="A685" s="0" t="str">
        <f aca="false">CONCATENATE("__import__.res_partner_",C685)</f>
        <v>__import__.res_partner_20000010524</v>
      </c>
      <c r="B685" s="2" t="s">
        <v>6285</v>
      </c>
      <c r="C685" s="3" t="s">
        <v>6286</v>
      </c>
      <c r="D685" s="2" t="s">
        <v>6287</v>
      </c>
      <c r="F685" s="2" t="s">
        <v>30</v>
      </c>
      <c r="G685" s="2" t="s">
        <v>31</v>
      </c>
      <c r="H685" s="2" t="s">
        <v>32</v>
      </c>
      <c r="K685" s="2" t="s">
        <v>6288</v>
      </c>
      <c r="L685" s="3" t="s">
        <v>2763</v>
      </c>
      <c r="M685" s="2" t="s">
        <v>6289</v>
      </c>
      <c r="O685" s="2" t="s">
        <v>3689</v>
      </c>
      <c r="P685" s="2" t="s">
        <v>37</v>
      </c>
      <c r="R685" s="2" t="s">
        <v>6290</v>
      </c>
      <c r="T685" s="2" t="s">
        <v>697</v>
      </c>
      <c r="X685" s="2" t="n">
        <v>10524</v>
      </c>
      <c r="Y685" s="2" t="s">
        <v>678</v>
      </c>
      <c r="Z685" s="3" t="s">
        <v>6291</v>
      </c>
    </row>
    <row r="686" customFormat="false" ht="13.8" hidden="false" customHeight="false" outlineLevel="0" collapsed="false">
      <c r="A686" s="0" t="str">
        <f aca="false">CONCATENATE("__import__.res_partner_",C686)</f>
        <v>__import__.res_partner_20000010525</v>
      </c>
      <c r="B686" s="2" t="s">
        <v>6292</v>
      </c>
      <c r="C686" s="3" t="s">
        <v>6293</v>
      </c>
      <c r="D686" s="2" t="s">
        <v>6294</v>
      </c>
      <c r="F686" s="2" t="s">
        <v>30</v>
      </c>
      <c r="G686" s="2" t="s">
        <v>1664</v>
      </c>
      <c r="H686" s="2" t="s">
        <v>32</v>
      </c>
      <c r="K686" s="2" t="s">
        <v>6295</v>
      </c>
      <c r="L686" s="3" t="s">
        <v>5545</v>
      </c>
      <c r="M686" s="2" t="s">
        <v>6296</v>
      </c>
      <c r="O686" s="2" t="s">
        <v>5547</v>
      </c>
      <c r="P686" s="2" t="s">
        <v>37</v>
      </c>
      <c r="T686" s="2" t="s">
        <v>76</v>
      </c>
      <c r="X686" s="2" t="n">
        <v>10525</v>
      </c>
      <c r="Y686" s="2" t="s">
        <v>678</v>
      </c>
      <c r="Z686" s="3" t="s">
        <v>6297</v>
      </c>
    </row>
    <row r="687" customFormat="false" ht="13.8" hidden="false" customHeight="false" outlineLevel="0" collapsed="false">
      <c r="A687" s="0" t="str">
        <f aca="false">CONCATENATE("__import__.res_partner_",C687)</f>
        <v>__import__.res_partner_20000010526</v>
      </c>
      <c r="B687" s="2" t="s">
        <v>6298</v>
      </c>
      <c r="C687" s="3" t="s">
        <v>6299</v>
      </c>
      <c r="D687" s="2" t="s">
        <v>6300</v>
      </c>
      <c r="F687" s="2" t="s">
        <v>30</v>
      </c>
      <c r="G687" s="2" t="s">
        <v>1664</v>
      </c>
      <c r="H687" s="2" t="s">
        <v>32</v>
      </c>
      <c r="K687" s="2" t="s">
        <v>6301</v>
      </c>
      <c r="L687" s="3" t="s">
        <v>2771</v>
      </c>
      <c r="M687" s="2" t="s">
        <v>6302</v>
      </c>
      <c r="O687" s="2" t="s">
        <v>2754</v>
      </c>
      <c r="P687" s="2" t="s">
        <v>37</v>
      </c>
      <c r="R687" s="2" t="s">
        <v>6303</v>
      </c>
      <c r="T687" s="2" t="s">
        <v>76</v>
      </c>
      <c r="X687" s="2" t="n">
        <v>10526</v>
      </c>
      <c r="Y687" s="2" t="s">
        <v>678</v>
      </c>
      <c r="Z687" s="3" t="s">
        <v>6304</v>
      </c>
    </row>
    <row r="688" customFormat="false" ht="13.8" hidden="false" customHeight="false" outlineLevel="0" collapsed="false">
      <c r="A688" s="0" t="str">
        <f aca="false">CONCATENATE("__import__.res_partner_",C688)</f>
        <v>__import__.res_partner_20000010527</v>
      </c>
      <c r="B688" s="2" t="s">
        <v>6305</v>
      </c>
      <c r="C688" s="3" t="s">
        <v>6306</v>
      </c>
      <c r="D688" s="2" t="s">
        <v>6307</v>
      </c>
      <c r="F688" s="3" t="s">
        <v>557</v>
      </c>
      <c r="G688" s="2" t="s">
        <v>31</v>
      </c>
      <c r="H688" s="2" t="s">
        <v>32</v>
      </c>
      <c r="K688" s="2" t="s">
        <v>6308</v>
      </c>
      <c r="L688" s="3" t="s">
        <v>2799</v>
      </c>
      <c r="M688" s="2" t="s">
        <v>6309</v>
      </c>
      <c r="O688" s="2" t="s">
        <v>2801</v>
      </c>
      <c r="P688" s="2" t="s">
        <v>37</v>
      </c>
      <c r="Q688" s="2" t="s">
        <v>6310</v>
      </c>
      <c r="R688" s="2" t="s">
        <v>6311</v>
      </c>
      <c r="T688" s="2" t="s">
        <v>697</v>
      </c>
      <c r="X688" s="2" t="n">
        <v>10527</v>
      </c>
      <c r="Y688" s="2" t="s">
        <v>6312</v>
      </c>
      <c r="Z688" s="3" t="s">
        <v>6313</v>
      </c>
    </row>
    <row r="689" customFormat="false" ht="13.8" hidden="false" customHeight="false" outlineLevel="0" collapsed="false">
      <c r="A689" s="0" t="str">
        <f aca="false">CONCATENATE("__import__.res_partner_",C689)</f>
        <v>__import__.res_partner_20000010528</v>
      </c>
      <c r="B689" s="2" t="s">
        <v>6314</v>
      </c>
      <c r="C689" s="3" t="s">
        <v>6315</v>
      </c>
      <c r="D689" s="2" t="s">
        <v>6316</v>
      </c>
      <c r="F689" s="2" t="s">
        <v>30</v>
      </c>
      <c r="G689" s="2" t="s">
        <v>1664</v>
      </c>
      <c r="H689" s="2" t="s">
        <v>32</v>
      </c>
      <c r="K689" s="2" t="s">
        <v>6317</v>
      </c>
      <c r="L689" s="3" t="s">
        <v>4822</v>
      </c>
      <c r="M689" s="2" t="s">
        <v>6318</v>
      </c>
      <c r="O689" s="2" t="s">
        <v>3689</v>
      </c>
      <c r="P689" s="2" t="s">
        <v>37</v>
      </c>
      <c r="Q689" s="2" t="s">
        <v>6319</v>
      </c>
      <c r="R689" s="2" t="s">
        <v>6320</v>
      </c>
      <c r="T689" s="2" t="s">
        <v>697</v>
      </c>
      <c r="X689" s="2" t="n">
        <v>10528</v>
      </c>
      <c r="Y689" s="2" t="s">
        <v>678</v>
      </c>
      <c r="Z689" s="3" t="s">
        <v>6321</v>
      </c>
    </row>
    <row r="690" customFormat="false" ht="13.8" hidden="false" customHeight="false" outlineLevel="0" collapsed="false">
      <c r="A690" s="0" t="str">
        <f aca="false">CONCATENATE("__import__.res_partner_",C690)</f>
        <v>__import__.res_partner_20000010529</v>
      </c>
      <c r="B690" s="2" t="s">
        <v>6322</v>
      </c>
      <c r="C690" s="3" t="s">
        <v>6323</v>
      </c>
      <c r="D690" s="2" t="s">
        <v>6324</v>
      </c>
      <c r="F690" s="2" t="s">
        <v>30</v>
      </c>
      <c r="G690" s="2" t="s">
        <v>1664</v>
      </c>
      <c r="H690" s="2" t="s">
        <v>32</v>
      </c>
      <c r="K690" s="2" t="s">
        <v>6325</v>
      </c>
      <c r="L690" s="3" t="s">
        <v>5609</v>
      </c>
      <c r="M690" s="2" t="s">
        <v>6326</v>
      </c>
      <c r="O690" s="2" t="s">
        <v>4994</v>
      </c>
      <c r="P690" s="2" t="s">
        <v>37</v>
      </c>
      <c r="T690" s="2" t="s">
        <v>76</v>
      </c>
      <c r="X690" s="2" t="n">
        <v>10529</v>
      </c>
      <c r="Y690" s="2" t="s">
        <v>678</v>
      </c>
      <c r="Z690" s="3" t="s">
        <v>6327</v>
      </c>
    </row>
    <row r="691" customFormat="false" ht="13.8" hidden="false" customHeight="false" outlineLevel="0" collapsed="false">
      <c r="A691" s="0" t="str">
        <f aca="false">CONCATENATE("__import__.res_partner_",C691)</f>
        <v>__import__.res_partner_20000010531</v>
      </c>
      <c r="B691" s="2" t="s">
        <v>6328</v>
      </c>
      <c r="C691" s="3" t="s">
        <v>6329</v>
      </c>
      <c r="D691" s="2" t="s">
        <v>6330</v>
      </c>
      <c r="F691" s="2" t="s">
        <v>30</v>
      </c>
      <c r="G691" s="2" t="s">
        <v>31</v>
      </c>
      <c r="H691" s="2" t="s">
        <v>32</v>
      </c>
      <c r="K691" s="2" t="s">
        <v>6331</v>
      </c>
      <c r="L691" s="3" t="s">
        <v>2763</v>
      </c>
      <c r="M691" s="2" t="s">
        <v>6332</v>
      </c>
      <c r="O691" s="2" t="s">
        <v>3689</v>
      </c>
      <c r="P691" s="2" t="s">
        <v>37</v>
      </c>
      <c r="Q691" s="2" t="s">
        <v>6333</v>
      </c>
      <c r="R691" s="2" t="s">
        <v>6334</v>
      </c>
      <c r="T691" s="2" t="s">
        <v>76</v>
      </c>
      <c r="X691" s="2" t="n">
        <v>10531</v>
      </c>
      <c r="Y691" s="2" t="s">
        <v>6335</v>
      </c>
      <c r="Z691" s="3" t="s">
        <v>6336</v>
      </c>
    </row>
    <row r="692" customFormat="false" ht="13.8" hidden="false" customHeight="false" outlineLevel="0" collapsed="false">
      <c r="A692" s="0" t="str">
        <f aca="false">CONCATENATE("__import__.res_partner_",C692)</f>
        <v>__import__.res_partner_20000010539</v>
      </c>
      <c r="B692" s="2" t="s">
        <v>6337</v>
      </c>
      <c r="C692" s="3" t="s">
        <v>6338</v>
      </c>
      <c r="D692" s="2" t="s">
        <v>6339</v>
      </c>
      <c r="F692" s="2" t="s">
        <v>30</v>
      </c>
      <c r="G692" s="2" t="s">
        <v>31</v>
      </c>
      <c r="H692" s="2" t="s">
        <v>32</v>
      </c>
      <c r="K692" s="2" t="s">
        <v>6340</v>
      </c>
      <c r="L692" s="3" t="s">
        <v>6341</v>
      </c>
      <c r="M692" s="2" t="s">
        <v>6342</v>
      </c>
      <c r="O692" s="2" t="s">
        <v>6343</v>
      </c>
      <c r="P692" s="2" t="s">
        <v>37</v>
      </c>
      <c r="Q692" s="2" t="s">
        <v>6344</v>
      </c>
      <c r="R692" s="3" t="s">
        <v>6345</v>
      </c>
      <c r="T692" s="2" t="s">
        <v>97</v>
      </c>
      <c r="X692" s="2" t="n">
        <v>10539</v>
      </c>
      <c r="Y692" s="2" t="s">
        <v>678</v>
      </c>
      <c r="Z692" s="3" t="s">
        <v>6346</v>
      </c>
    </row>
    <row r="693" customFormat="false" ht="13.8" hidden="false" customHeight="false" outlineLevel="0" collapsed="false">
      <c r="A693" s="0" t="str">
        <f aca="false">CONCATENATE("__import__.res_partner_",C693)</f>
        <v>__import__.res_partner_20000010540</v>
      </c>
      <c r="B693" s="2" t="s">
        <v>6347</v>
      </c>
      <c r="C693" s="3" t="s">
        <v>6348</v>
      </c>
      <c r="D693" s="2" t="s">
        <v>6349</v>
      </c>
      <c r="F693" s="2" t="s">
        <v>30</v>
      </c>
      <c r="G693" s="2" t="s">
        <v>31</v>
      </c>
      <c r="H693" s="2" t="s">
        <v>32</v>
      </c>
      <c r="K693" s="2" t="s">
        <v>6350</v>
      </c>
      <c r="L693" s="3" t="s">
        <v>6351</v>
      </c>
      <c r="M693" s="2" t="s">
        <v>6352</v>
      </c>
      <c r="N693" s="2" t="s">
        <v>6353</v>
      </c>
      <c r="O693" s="2" t="s">
        <v>5874</v>
      </c>
      <c r="P693" s="2" t="s">
        <v>37</v>
      </c>
      <c r="Q693" s="2" t="s">
        <v>6354</v>
      </c>
      <c r="R693" s="2" t="s">
        <v>6355</v>
      </c>
      <c r="T693" s="2" t="s">
        <v>6356</v>
      </c>
      <c r="X693" s="2" t="n">
        <v>10540</v>
      </c>
      <c r="Y693" s="2" t="s">
        <v>6357</v>
      </c>
      <c r="Z693" s="3" t="s">
        <v>6358</v>
      </c>
    </row>
    <row r="694" customFormat="false" ht="13.8" hidden="false" customHeight="false" outlineLevel="0" collapsed="false">
      <c r="A694" s="0" t="str">
        <f aca="false">CONCATENATE("__import__.res_partner_",C694)</f>
        <v>__import__.res_partner_20000010541</v>
      </c>
      <c r="B694" s="2" t="s">
        <v>6359</v>
      </c>
      <c r="C694" s="3" t="s">
        <v>6360</v>
      </c>
      <c r="D694" s="2" t="s">
        <v>6361</v>
      </c>
      <c r="F694" s="2" t="s">
        <v>30</v>
      </c>
      <c r="G694" s="2" t="s">
        <v>31</v>
      </c>
      <c r="H694" s="2" t="s">
        <v>32</v>
      </c>
      <c r="K694" s="2" t="s">
        <v>6362</v>
      </c>
      <c r="L694" s="3" t="s">
        <v>6363</v>
      </c>
      <c r="M694" s="2" t="s">
        <v>6364</v>
      </c>
      <c r="O694" s="2" t="s">
        <v>6365</v>
      </c>
      <c r="P694" s="2" t="s">
        <v>37</v>
      </c>
      <c r="Q694" s="2" t="s">
        <v>6366</v>
      </c>
      <c r="R694" s="3" t="s">
        <v>6367</v>
      </c>
      <c r="T694" s="2" t="s">
        <v>97</v>
      </c>
      <c r="X694" s="2" t="n">
        <v>10541</v>
      </c>
      <c r="Y694" s="2" t="s">
        <v>678</v>
      </c>
      <c r="Z694" s="3" t="s">
        <v>6368</v>
      </c>
    </row>
    <row r="695" customFormat="false" ht="13.8" hidden="false" customHeight="false" outlineLevel="0" collapsed="false">
      <c r="A695" s="0" t="str">
        <f aca="false">CONCATENATE("__import__.res_partner_",C695)</f>
        <v>__import__.res_partner_20000010542</v>
      </c>
      <c r="B695" s="2" t="s">
        <v>6369</v>
      </c>
      <c r="C695" s="3" t="s">
        <v>6370</v>
      </c>
      <c r="D695" s="2" t="s">
        <v>6371</v>
      </c>
      <c r="F695" s="2" t="s">
        <v>30</v>
      </c>
      <c r="G695" s="2" t="s">
        <v>31</v>
      </c>
      <c r="H695" s="2" t="s">
        <v>32</v>
      </c>
      <c r="K695" s="2" t="s">
        <v>6372</v>
      </c>
      <c r="L695" s="3" t="s">
        <v>3362</v>
      </c>
      <c r="M695" s="2" t="s">
        <v>6373</v>
      </c>
      <c r="O695" s="2" t="s">
        <v>2754</v>
      </c>
      <c r="P695" s="2" t="s">
        <v>37</v>
      </c>
      <c r="T695" s="2" t="s">
        <v>76</v>
      </c>
      <c r="X695" s="2" t="n">
        <v>10542</v>
      </c>
      <c r="Y695" s="2" t="s">
        <v>678</v>
      </c>
      <c r="Z695" s="3" t="s">
        <v>6374</v>
      </c>
    </row>
    <row r="696" customFormat="false" ht="13.8" hidden="false" customHeight="false" outlineLevel="0" collapsed="false">
      <c r="A696" s="0" t="str">
        <f aca="false">CONCATENATE("__import__.res_partner_",C696)</f>
        <v>__import__.res_partner_20000010543</v>
      </c>
      <c r="B696" s="2" t="s">
        <v>6375</v>
      </c>
      <c r="C696" s="3" t="s">
        <v>6376</v>
      </c>
      <c r="D696" s="2" t="s">
        <v>6377</v>
      </c>
      <c r="F696" s="3" t="s">
        <v>557</v>
      </c>
      <c r="G696" s="2" t="s">
        <v>1664</v>
      </c>
      <c r="H696" s="2" t="s">
        <v>32</v>
      </c>
      <c r="K696" s="2" t="s">
        <v>6378</v>
      </c>
      <c r="L696" s="3" t="s">
        <v>5890</v>
      </c>
      <c r="M696" s="2" t="s">
        <v>6379</v>
      </c>
      <c r="O696" s="2" t="s">
        <v>3833</v>
      </c>
      <c r="P696" s="2" t="s">
        <v>37</v>
      </c>
      <c r="Q696" s="2" t="s">
        <v>6380</v>
      </c>
      <c r="R696" s="2" t="s">
        <v>6381</v>
      </c>
      <c r="T696" s="2" t="s">
        <v>76</v>
      </c>
      <c r="X696" s="2" t="n">
        <v>10543</v>
      </c>
      <c r="Y696" s="2" t="s">
        <v>6382</v>
      </c>
      <c r="Z696" s="3" t="s">
        <v>6383</v>
      </c>
    </row>
    <row r="697" customFormat="false" ht="13.8" hidden="false" customHeight="false" outlineLevel="0" collapsed="false">
      <c r="A697" s="0" t="str">
        <f aca="false">CONCATENATE("__import__.res_partner_",C697)</f>
        <v>__import__.res_partner_20000010545</v>
      </c>
      <c r="B697" s="2" t="s">
        <v>6384</v>
      </c>
      <c r="C697" s="3" t="s">
        <v>6385</v>
      </c>
      <c r="D697" s="2" t="s">
        <v>6386</v>
      </c>
      <c r="F697" s="2" t="s">
        <v>30</v>
      </c>
      <c r="G697" s="2" t="s">
        <v>1664</v>
      </c>
      <c r="H697" s="2" t="s">
        <v>32</v>
      </c>
      <c r="K697" s="2" t="s">
        <v>6387</v>
      </c>
      <c r="L697" s="3" t="s">
        <v>5815</v>
      </c>
      <c r="M697" s="2" t="s">
        <v>6388</v>
      </c>
      <c r="O697" s="2" t="s">
        <v>4143</v>
      </c>
      <c r="P697" s="2" t="s">
        <v>37</v>
      </c>
      <c r="R697" s="3" t="s">
        <v>6389</v>
      </c>
      <c r="T697" s="2" t="s">
        <v>5567</v>
      </c>
      <c r="X697" s="2" t="n">
        <v>10545</v>
      </c>
      <c r="Y697" s="2" t="s">
        <v>678</v>
      </c>
      <c r="Z697" s="3" t="s">
        <v>6390</v>
      </c>
    </row>
    <row r="698" customFormat="false" ht="13.8" hidden="false" customHeight="false" outlineLevel="0" collapsed="false">
      <c r="A698" s="0" t="str">
        <f aca="false">CONCATENATE("__import__.res_partner_",C698)</f>
        <v>__import__.res_partner_20000010546</v>
      </c>
      <c r="B698" s="2" t="s">
        <v>6391</v>
      </c>
      <c r="C698" s="3" t="s">
        <v>6392</v>
      </c>
      <c r="D698" s="2" t="s">
        <v>6393</v>
      </c>
      <c r="F698" s="3" t="s">
        <v>557</v>
      </c>
      <c r="G698" s="2" t="s">
        <v>1664</v>
      </c>
      <c r="H698" s="2" t="s">
        <v>32</v>
      </c>
      <c r="K698" s="2" t="s">
        <v>6394</v>
      </c>
      <c r="L698" s="3" t="s">
        <v>4822</v>
      </c>
      <c r="M698" s="2" t="s">
        <v>6395</v>
      </c>
      <c r="O698" s="2" t="s">
        <v>3689</v>
      </c>
      <c r="P698" s="2" t="s">
        <v>37</v>
      </c>
      <c r="Q698" s="2" t="s">
        <v>6396</v>
      </c>
      <c r="R698" s="2" t="s">
        <v>6397</v>
      </c>
      <c r="T698" s="2" t="s">
        <v>5195</v>
      </c>
      <c r="X698" s="2" t="n">
        <v>10546</v>
      </c>
      <c r="Y698" s="2" t="s">
        <v>678</v>
      </c>
      <c r="Z698" s="3" t="s">
        <v>6398</v>
      </c>
    </row>
    <row r="699" customFormat="false" ht="13.8" hidden="false" customHeight="false" outlineLevel="0" collapsed="false">
      <c r="A699" s="0" t="str">
        <f aca="false">CONCATENATE("__import__.res_partner_",C699)</f>
        <v>__import__.res_partner_20000010547</v>
      </c>
      <c r="B699" s="2" t="s">
        <v>6399</v>
      </c>
      <c r="C699" s="3" t="s">
        <v>6400</v>
      </c>
      <c r="D699" s="2" t="s">
        <v>6401</v>
      </c>
      <c r="F699" s="2" t="s">
        <v>30</v>
      </c>
      <c r="G699" s="2" t="s">
        <v>1664</v>
      </c>
      <c r="H699" s="2" t="s">
        <v>32</v>
      </c>
      <c r="K699" s="2" t="s">
        <v>6402</v>
      </c>
      <c r="L699" s="3" t="s">
        <v>4822</v>
      </c>
      <c r="M699" s="2" t="s">
        <v>6403</v>
      </c>
      <c r="O699" s="2" t="s">
        <v>4143</v>
      </c>
      <c r="P699" s="2" t="s">
        <v>37</v>
      </c>
      <c r="Q699" s="2" t="s">
        <v>6404</v>
      </c>
      <c r="R699" s="3" t="s">
        <v>6405</v>
      </c>
      <c r="T699" s="2" t="s">
        <v>697</v>
      </c>
      <c r="X699" s="2" t="n">
        <v>10547</v>
      </c>
      <c r="Y699" s="2" t="s">
        <v>678</v>
      </c>
      <c r="Z699" s="3" t="s">
        <v>6406</v>
      </c>
    </row>
    <row r="700" customFormat="false" ht="13.8" hidden="false" customHeight="false" outlineLevel="0" collapsed="false">
      <c r="A700" s="0" t="str">
        <f aca="false">CONCATENATE("__import__.res_partner_",C700)</f>
        <v>__import__.res_partner_20000010548</v>
      </c>
      <c r="B700" s="2" t="s">
        <v>6407</v>
      </c>
      <c r="C700" s="3" t="s">
        <v>6408</v>
      </c>
      <c r="D700" s="2" t="s">
        <v>6409</v>
      </c>
      <c r="F700" s="2" t="s">
        <v>30</v>
      </c>
      <c r="G700" s="2" t="s">
        <v>1664</v>
      </c>
      <c r="H700" s="2" t="s">
        <v>32</v>
      </c>
      <c r="K700" s="2" t="s">
        <v>6410</v>
      </c>
      <c r="L700" s="3" t="s">
        <v>5690</v>
      </c>
      <c r="M700" s="2" t="s">
        <v>6411</v>
      </c>
      <c r="O700" s="2" t="s">
        <v>4002</v>
      </c>
      <c r="P700" s="2" t="s">
        <v>37</v>
      </c>
      <c r="R700" s="3" t="s">
        <v>6412</v>
      </c>
      <c r="T700" s="2" t="s">
        <v>76</v>
      </c>
      <c r="X700" s="2" t="n">
        <v>10548</v>
      </c>
      <c r="Y700" s="2" t="s">
        <v>678</v>
      </c>
      <c r="Z700" s="3" t="s">
        <v>6413</v>
      </c>
    </row>
    <row r="701" customFormat="false" ht="13.8" hidden="false" customHeight="false" outlineLevel="0" collapsed="false">
      <c r="A701" s="0" t="str">
        <f aca="false">CONCATENATE("__import__.res_partner_",C701)</f>
        <v>__import__.res_partner_20000010549</v>
      </c>
      <c r="B701" s="2" t="s">
        <v>6414</v>
      </c>
      <c r="C701" s="3" t="s">
        <v>6415</v>
      </c>
      <c r="D701" s="2" t="s">
        <v>6416</v>
      </c>
      <c r="F701" s="2" t="s">
        <v>30</v>
      </c>
      <c r="G701" s="2" t="s">
        <v>1664</v>
      </c>
      <c r="H701" s="2" t="s">
        <v>32</v>
      </c>
      <c r="K701" s="2" t="s">
        <v>6417</v>
      </c>
      <c r="L701" s="3" t="s">
        <v>5609</v>
      </c>
      <c r="M701" s="2" t="s">
        <v>6418</v>
      </c>
      <c r="O701" s="2" t="s">
        <v>4994</v>
      </c>
      <c r="P701" s="2" t="s">
        <v>37</v>
      </c>
      <c r="R701" s="2" t="s">
        <v>6419</v>
      </c>
      <c r="T701" s="2" t="s">
        <v>108</v>
      </c>
      <c r="X701" s="2" t="n">
        <v>10549</v>
      </c>
      <c r="Y701" s="2" t="s">
        <v>678</v>
      </c>
      <c r="Z701" s="3" t="s">
        <v>6420</v>
      </c>
    </row>
    <row r="702" customFormat="false" ht="13.8" hidden="false" customHeight="false" outlineLevel="0" collapsed="false">
      <c r="A702" s="0" t="str">
        <f aca="false">CONCATENATE("__import__.res_partner_",C702)</f>
        <v>__import__.res_partner_20000010550</v>
      </c>
      <c r="B702" s="2" t="s">
        <v>6421</v>
      </c>
      <c r="C702" s="3" t="s">
        <v>6422</v>
      </c>
      <c r="D702" s="2" t="s">
        <v>6423</v>
      </c>
      <c r="F702" s="2" t="s">
        <v>30</v>
      </c>
      <c r="G702" s="2" t="s">
        <v>31</v>
      </c>
      <c r="H702" s="2" t="s">
        <v>32</v>
      </c>
      <c r="K702" s="2" t="s">
        <v>6424</v>
      </c>
      <c r="L702" s="3" t="s">
        <v>3003</v>
      </c>
      <c r="M702" s="2" t="s">
        <v>6425</v>
      </c>
      <c r="O702" s="2" t="s">
        <v>2754</v>
      </c>
      <c r="P702" s="2" t="s">
        <v>37</v>
      </c>
      <c r="Q702" s="2" t="s">
        <v>3955</v>
      </c>
      <c r="R702" s="3" t="s">
        <v>6426</v>
      </c>
      <c r="T702" s="2" t="s">
        <v>76</v>
      </c>
      <c r="X702" s="2" t="n">
        <v>10550</v>
      </c>
      <c r="Y702" s="2" t="s">
        <v>678</v>
      </c>
      <c r="Z702" s="3" t="s">
        <v>6427</v>
      </c>
    </row>
    <row r="703" customFormat="false" ht="13.8" hidden="false" customHeight="false" outlineLevel="0" collapsed="false">
      <c r="A703" s="0" t="str">
        <f aca="false">CONCATENATE("__import__.res_partner_",C703)</f>
        <v>__import__.res_partner_20000010551</v>
      </c>
      <c r="B703" s="2" t="s">
        <v>6428</v>
      </c>
      <c r="C703" s="3" t="s">
        <v>6429</v>
      </c>
      <c r="D703" s="2" t="s">
        <v>6430</v>
      </c>
      <c r="F703" s="2" t="s">
        <v>30</v>
      </c>
      <c r="G703" s="2" t="s">
        <v>31</v>
      </c>
      <c r="H703" s="2" t="s">
        <v>32</v>
      </c>
      <c r="K703" s="2" t="s">
        <v>6431</v>
      </c>
      <c r="L703" s="3" t="s">
        <v>2308</v>
      </c>
      <c r="M703" s="2" t="s">
        <v>6432</v>
      </c>
      <c r="O703" s="2" t="s">
        <v>2310</v>
      </c>
      <c r="P703" s="2" t="s">
        <v>37</v>
      </c>
      <c r="R703" s="3" t="s">
        <v>6433</v>
      </c>
      <c r="T703" s="2" t="s">
        <v>64</v>
      </c>
      <c r="X703" s="2" t="n">
        <v>10551</v>
      </c>
      <c r="Y703" s="2" t="s">
        <v>6434</v>
      </c>
      <c r="Z703" s="3" t="s">
        <v>6435</v>
      </c>
    </row>
    <row r="704" customFormat="false" ht="13.8" hidden="false" customHeight="false" outlineLevel="0" collapsed="false">
      <c r="A704" s="0" t="str">
        <f aca="false">CONCATENATE("__import__.res_partner_",C704)</f>
        <v>__import__.res_partner_20000010552</v>
      </c>
      <c r="B704" s="2" t="s">
        <v>6436</v>
      </c>
      <c r="C704" s="3" t="s">
        <v>6437</v>
      </c>
      <c r="D704" s="2" t="s">
        <v>6438</v>
      </c>
      <c r="F704" s="2" t="s">
        <v>30</v>
      </c>
      <c r="G704" s="2" t="s">
        <v>31</v>
      </c>
      <c r="H704" s="2" t="s">
        <v>32</v>
      </c>
      <c r="K704" s="2" t="s">
        <v>6439</v>
      </c>
      <c r="L704" s="3" t="s">
        <v>6440</v>
      </c>
      <c r="M704" s="2" t="s">
        <v>6441</v>
      </c>
      <c r="O704" s="2" t="s">
        <v>6442</v>
      </c>
      <c r="P704" s="2" t="s">
        <v>37</v>
      </c>
      <c r="Q704" s="2" t="s">
        <v>6443</v>
      </c>
      <c r="R704" s="2" t="s">
        <v>6444</v>
      </c>
      <c r="T704" s="2" t="s">
        <v>40</v>
      </c>
      <c r="X704" s="2" t="n">
        <v>10552</v>
      </c>
      <c r="Y704" s="2" t="s">
        <v>678</v>
      </c>
      <c r="Z704" s="3" t="s">
        <v>6445</v>
      </c>
      <c r="AA704" s="2" t="s">
        <v>6446</v>
      </c>
    </row>
    <row r="705" customFormat="false" ht="13.8" hidden="false" customHeight="false" outlineLevel="0" collapsed="false">
      <c r="A705" s="0" t="str">
        <f aca="false">CONCATENATE("__import__.res_partner_",C705)</f>
        <v>__import__.res_partner_20000010553</v>
      </c>
      <c r="B705" s="2" t="s">
        <v>6447</v>
      </c>
      <c r="C705" s="3" t="s">
        <v>6448</v>
      </c>
      <c r="D705" s="2" t="s">
        <v>6449</v>
      </c>
      <c r="F705" s="2" t="s">
        <v>30</v>
      </c>
      <c r="G705" s="2" t="s">
        <v>31</v>
      </c>
      <c r="H705" s="2" t="s">
        <v>32</v>
      </c>
      <c r="K705" s="2" t="s">
        <v>6450</v>
      </c>
      <c r="L705" s="3" t="s">
        <v>6440</v>
      </c>
      <c r="M705" s="2" t="s">
        <v>6451</v>
      </c>
      <c r="O705" s="2" t="s">
        <v>6442</v>
      </c>
      <c r="P705" s="2" t="s">
        <v>37</v>
      </c>
      <c r="Q705" s="2" t="s">
        <v>6452</v>
      </c>
      <c r="T705" s="2" t="s">
        <v>108</v>
      </c>
      <c r="X705" s="2" t="n">
        <v>10553</v>
      </c>
      <c r="Y705" s="2" t="s">
        <v>678</v>
      </c>
      <c r="Z705" s="3" t="s">
        <v>6453</v>
      </c>
    </row>
    <row r="706" customFormat="false" ht="13.8" hidden="false" customHeight="false" outlineLevel="0" collapsed="false">
      <c r="A706" s="0" t="str">
        <f aca="false">CONCATENATE("__import__.res_partner_",C706)</f>
        <v>__import__.res_partner_20000010554</v>
      </c>
      <c r="B706" s="2" t="s">
        <v>6454</v>
      </c>
      <c r="C706" s="3" t="s">
        <v>6455</v>
      </c>
      <c r="D706" s="2" t="s">
        <v>6456</v>
      </c>
      <c r="F706" s="2" t="s">
        <v>30</v>
      </c>
      <c r="G706" s="2" t="s">
        <v>31</v>
      </c>
      <c r="H706" s="2" t="s">
        <v>32</v>
      </c>
      <c r="K706" s="2" t="s">
        <v>6457</v>
      </c>
      <c r="L706" s="3" t="s">
        <v>4984</v>
      </c>
      <c r="M706" s="2" t="s">
        <v>6458</v>
      </c>
      <c r="O706" s="2" t="s">
        <v>2709</v>
      </c>
      <c r="P706" s="2" t="s">
        <v>37</v>
      </c>
      <c r="Q706" s="2" t="s">
        <v>38</v>
      </c>
      <c r="R706" s="2" t="s">
        <v>6459</v>
      </c>
      <c r="T706" s="2" t="s">
        <v>697</v>
      </c>
      <c r="X706" s="2" t="n">
        <v>10554</v>
      </c>
      <c r="Y706" s="2" t="s">
        <v>6460</v>
      </c>
      <c r="Z706" s="3" t="s">
        <v>6461</v>
      </c>
    </row>
    <row r="707" customFormat="false" ht="13.8" hidden="false" customHeight="false" outlineLevel="0" collapsed="false">
      <c r="A707" s="0" t="str">
        <f aca="false">CONCATENATE("__import__.res_partner_",C707)</f>
        <v>__import__.res_partner_20000010564</v>
      </c>
      <c r="B707" s="2" t="s">
        <v>6462</v>
      </c>
      <c r="C707" s="3" t="s">
        <v>6463</v>
      </c>
      <c r="D707" s="2" t="s">
        <v>6464</v>
      </c>
      <c r="F707" s="2" t="s">
        <v>30</v>
      </c>
      <c r="G707" s="2" t="s">
        <v>1664</v>
      </c>
      <c r="H707" s="2" t="s">
        <v>32</v>
      </c>
      <c r="K707" s="2" t="s">
        <v>6465</v>
      </c>
      <c r="L707" s="3" t="s">
        <v>6466</v>
      </c>
      <c r="M707" s="2" t="s">
        <v>6467</v>
      </c>
      <c r="O707" s="2" t="s">
        <v>3833</v>
      </c>
      <c r="P707" s="2" t="s">
        <v>37</v>
      </c>
      <c r="Q707" s="2" t="s">
        <v>6468</v>
      </c>
      <c r="R707" s="2" t="s">
        <v>6469</v>
      </c>
      <c r="T707" s="2" t="s">
        <v>108</v>
      </c>
      <c r="X707" s="2" t="n">
        <v>10564</v>
      </c>
      <c r="Z707" s="3" t="s">
        <v>6470</v>
      </c>
    </row>
    <row r="708" customFormat="false" ht="13.8" hidden="false" customHeight="false" outlineLevel="0" collapsed="false">
      <c r="A708" s="0" t="str">
        <f aca="false">CONCATENATE("__import__.res_partner_",C708)</f>
        <v>__import__.res_partner_20000010565</v>
      </c>
      <c r="B708" s="2" t="s">
        <v>6471</v>
      </c>
      <c r="C708" s="3" t="s">
        <v>6472</v>
      </c>
      <c r="D708" s="2" t="s">
        <v>6473</v>
      </c>
      <c r="F708" s="3" t="s">
        <v>557</v>
      </c>
      <c r="G708" s="2" t="s">
        <v>31</v>
      </c>
      <c r="H708" s="2" t="s">
        <v>32</v>
      </c>
      <c r="K708" s="2" t="s">
        <v>6474</v>
      </c>
      <c r="L708" s="3" t="s">
        <v>6475</v>
      </c>
      <c r="M708" s="2" t="s">
        <v>6476</v>
      </c>
      <c r="O708" s="2" t="s">
        <v>6477</v>
      </c>
      <c r="P708" s="2" t="s">
        <v>37</v>
      </c>
      <c r="R708" s="2" t="s">
        <v>6478</v>
      </c>
      <c r="T708" s="2" t="s">
        <v>76</v>
      </c>
      <c r="X708" s="2" t="n">
        <v>10565</v>
      </c>
      <c r="Y708" s="2" t="s">
        <v>6479</v>
      </c>
      <c r="Z708" s="3" t="s">
        <v>6480</v>
      </c>
    </row>
    <row r="709" customFormat="false" ht="13.8" hidden="false" customHeight="false" outlineLevel="0" collapsed="false">
      <c r="A709" s="0" t="str">
        <f aca="false">CONCATENATE("__import__.res_partner_",C709)</f>
        <v>__import__.res_partner_20000010566</v>
      </c>
      <c r="B709" s="2" t="s">
        <v>6481</v>
      </c>
      <c r="C709" s="3" t="s">
        <v>6482</v>
      </c>
      <c r="D709" s="2" t="s">
        <v>6483</v>
      </c>
      <c r="F709" s="3" t="s">
        <v>557</v>
      </c>
      <c r="G709" s="2" t="s">
        <v>31</v>
      </c>
      <c r="H709" s="2" t="s">
        <v>32</v>
      </c>
      <c r="K709" s="2" t="s">
        <v>6484</v>
      </c>
      <c r="L709" s="3" t="s">
        <v>6475</v>
      </c>
      <c r="M709" s="2" t="s">
        <v>6485</v>
      </c>
      <c r="O709" s="2" t="s">
        <v>6477</v>
      </c>
      <c r="P709" s="2" t="s">
        <v>37</v>
      </c>
      <c r="R709" s="3" t="s">
        <v>6486</v>
      </c>
      <c r="T709" s="2" t="s">
        <v>76</v>
      </c>
      <c r="X709" s="2" t="n">
        <v>10566</v>
      </c>
      <c r="Y709" s="2" t="s">
        <v>6487</v>
      </c>
      <c r="Z709" s="3" t="s">
        <v>6488</v>
      </c>
    </row>
    <row r="710" customFormat="false" ht="13.8" hidden="false" customHeight="false" outlineLevel="0" collapsed="false">
      <c r="A710" s="0" t="str">
        <f aca="false">CONCATENATE("__import__.res_partner_",C710)</f>
        <v>__import__.res_partner_20000010567</v>
      </c>
      <c r="B710" s="2" t="s">
        <v>6489</v>
      </c>
      <c r="C710" s="3" t="s">
        <v>6490</v>
      </c>
      <c r="D710" s="2" t="s">
        <v>6491</v>
      </c>
      <c r="F710" s="2" t="s">
        <v>30</v>
      </c>
      <c r="G710" s="2" t="s">
        <v>1664</v>
      </c>
      <c r="H710" s="2" t="s">
        <v>32</v>
      </c>
      <c r="K710" s="2" t="s">
        <v>6492</v>
      </c>
      <c r="L710" s="3" t="s">
        <v>6493</v>
      </c>
      <c r="M710" s="2" t="s">
        <v>6494</v>
      </c>
      <c r="O710" s="2" t="s">
        <v>2754</v>
      </c>
      <c r="P710" s="2" t="s">
        <v>37</v>
      </c>
      <c r="Q710" s="2" t="s">
        <v>6495</v>
      </c>
      <c r="R710" s="2" t="s">
        <v>6496</v>
      </c>
      <c r="T710" s="2" t="s">
        <v>76</v>
      </c>
      <c r="X710" s="2" t="n">
        <v>10567</v>
      </c>
      <c r="Y710" s="2" t="s">
        <v>678</v>
      </c>
      <c r="Z710" s="3" t="s">
        <v>6497</v>
      </c>
    </row>
    <row r="711" customFormat="false" ht="13.8" hidden="false" customHeight="false" outlineLevel="0" collapsed="false">
      <c r="A711" s="0" t="str">
        <f aca="false">CONCATENATE("__import__.res_partner_",C711)</f>
        <v>__import__.res_partner_20000010568</v>
      </c>
      <c r="B711" s="2" t="s">
        <v>6498</v>
      </c>
      <c r="C711" s="3" t="s">
        <v>6499</v>
      </c>
      <c r="D711" s="2" t="s">
        <v>6500</v>
      </c>
      <c r="F711" s="2" t="s">
        <v>30</v>
      </c>
      <c r="G711" s="2" t="s">
        <v>31</v>
      </c>
      <c r="H711" s="2" t="s">
        <v>32</v>
      </c>
      <c r="K711" s="2" t="s">
        <v>6501</v>
      </c>
      <c r="L711" s="3" t="s">
        <v>6475</v>
      </c>
      <c r="M711" s="2" t="s">
        <v>6502</v>
      </c>
      <c r="O711" s="2" t="s">
        <v>6477</v>
      </c>
      <c r="P711" s="2" t="s">
        <v>37</v>
      </c>
      <c r="T711" s="2" t="s">
        <v>76</v>
      </c>
      <c r="X711" s="2" t="n">
        <v>10568</v>
      </c>
      <c r="Z711" s="3" t="s">
        <v>6503</v>
      </c>
    </row>
    <row r="712" customFormat="false" ht="13.8" hidden="false" customHeight="false" outlineLevel="0" collapsed="false">
      <c r="A712" s="0" t="str">
        <f aca="false">CONCATENATE("__import__.res_partner_",C712)</f>
        <v>__import__.res_partner_20000010569</v>
      </c>
      <c r="B712" s="2" t="s">
        <v>6504</v>
      </c>
      <c r="C712" s="3" t="s">
        <v>6505</v>
      </c>
      <c r="D712" s="2" t="s">
        <v>6506</v>
      </c>
      <c r="F712" s="2" t="s">
        <v>30</v>
      </c>
      <c r="G712" s="2" t="s">
        <v>31</v>
      </c>
      <c r="H712" s="2" t="s">
        <v>32</v>
      </c>
      <c r="K712" s="2" t="s">
        <v>6507</v>
      </c>
      <c r="L712" s="3" t="s">
        <v>4822</v>
      </c>
      <c r="M712" s="2" t="s">
        <v>6508</v>
      </c>
      <c r="O712" s="2" t="s">
        <v>3689</v>
      </c>
      <c r="P712" s="2" t="s">
        <v>37</v>
      </c>
      <c r="T712" s="2" t="s">
        <v>76</v>
      </c>
      <c r="X712" s="2" t="n">
        <v>10569</v>
      </c>
      <c r="Y712" s="2" t="s">
        <v>678</v>
      </c>
      <c r="Z712" s="3" t="s">
        <v>6509</v>
      </c>
    </row>
    <row r="713" customFormat="false" ht="13.8" hidden="false" customHeight="false" outlineLevel="0" collapsed="false">
      <c r="A713" s="0" t="str">
        <f aca="false">CONCATENATE("__import__.res_partner_",C713)</f>
        <v>__import__.res_partner_20000010570</v>
      </c>
      <c r="B713" s="2" t="s">
        <v>6510</v>
      </c>
      <c r="C713" s="3" t="s">
        <v>6511</v>
      </c>
      <c r="D713" s="2" t="s">
        <v>6512</v>
      </c>
      <c r="F713" s="2" t="s">
        <v>30</v>
      </c>
      <c r="G713" s="2" t="s">
        <v>31</v>
      </c>
      <c r="H713" s="2" t="s">
        <v>32</v>
      </c>
      <c r="K713" s="2" t="s">
        <v>6513</v>
      </c>
      <c r="L713" s="3" t="s">
        <v>2743</v>
      </c>
      <c r="M713" s="2" t="s">
        <v>6514</v>
      </c>
      <c r="O713" s="2" t="s">
        <v>2745</v>
      </c>
      <c r="P713" s="2" t="s">
        <v>37</v>
      </c>
      <c r="Q713" s="2" t="s">
        <v>6515</v>
      </c>
      <c r="R713" s="3" t="s">
        <v>6516</v>
      </c>
      <c r="T713" s="2" t="s">
        <v>108</v>
      </c>
      <c r="X713" s="2" t="n">
        <v>10570</v>
      </c>
      <c r="Y713" s="2" t="s">
        <v>678</v>
      </c>
      <c r="Z713" s="3" t="s">
        <v>6517</v>
      </c>
    </row>
    <row r="714" customFormat="false" ht="13.8" hidden="false" customHeight="false" outlineLevel="0" collapsed="false">
      <c r="A714" s="0" t="str">
        <f aca="false">CONCATENATE("__import__.res_partner_",C714)</f>
        <v>__import__.res_partner_20000010571</v>
      </c>
      <c r="B714" s="2" t="s">
        <v>6518</v>
      </c>
      <c r="C714" s="3" t="s">
        <v>6519</v>
      </c>
      <c r="D714" s="2" t="s">
        <v>6520</v>
      </c>
      <c r="F714" s="3" t="s">
        <v>557</v>
      </c>
      <c r="G714" s="2" t="s">
        <v>1664</v>
      </c>
      <c r="H714" s="2" t="s">
        <v>32</v>
      </c>
      <c r="K714" s="2" t="s">
        <v>6521</v>
      </c>
      <c r="L714" s="3" t="s">
        <v>6522</v>
      </c>
      <c r="M714" s="2" t="s">
        <v>6523</v>
      </c>
      <c r="O714" s="2" t="s">
        <v>3833</v>
      </c>
      <c r="P714" s="2" t="s">
        <v>37</v>
      </c>
      <c r="T714" s="2" t="s">
        <v>108</v>
      </c>
      <c r="X714" s="2" t="n">
        <v>10571</v>
      </c>
      <c r="Y714" s="2" t="s">
        <v>6524</v>
      </c>
      <c r="Z714" s="3" t="s">
        <v>6525</v>
      </c>
    </row>
    <row r="715" customFormat="false" ht="100.5" hidden="false" customHeight="false" outlineLevel="0" collapsed="false">
      <c r="A715" s="0" t="str">
        <f aca="false">CONCATENATE("__import__.res_partner_",C715)</f>
        <v>__import__.res_partner_20000010572</v>
      </c>
      <c r="B715" s="2" t="s">
        <v>6526</v>
      </c>
      <c r="C715" s="3" t="s">
        <v>6527</v>
      </c>
      <c r="D715" s="2" t="s">
        <v>6528</v>
      </c>
      <c r="F715" s="2" t="s">
        <v>30</v>
      </c>
      <c r="G715" s="2" t="s">
        <v>1664</v>
      </c>
      <c r="H715" s="2" t="s">
        <v>32</v>
      </c>
      <c r="K715" s="2" t="s">
        <v>6529</v>
      </c>
      <c r="L715" s="3" t="s">
        <v>6530</v>
      </c>
      <c r="M715" s="2" t="s">
        <v>6531</v>
      </c>
      <c r="O715" s="2" t="s">
        <v>6532</v>
      </c>
      <c r="P715" s="2" t="s">
        <v>37</v>
      </c>
      <c r="R715" s="3" t="s">
        <v>6533</v>
      </c>
      <c r="T715" s="2" t="s">
        <v>697</v>
      </c>
      <c r="W715" s="2" t="s">
        <v>6534</v>
      </c>
      <c r="X715" s="2" t="n">
        <v>10572</v>
      </c>
      <c r="Y715" s="2" t="s">
        <v>678</v>
      </c>
      <c r="Z715" s="3" t="s">
        <v>6535</v>
      </c>
      <c r="AA715" s="4" t="s">
        <v>6536</v>
      </c>
    </row>
    <row r="716" customFormat="false" ht="13.8" hidden="false" customHeight="false" outlineLevel="0" collapsed="false">
      <c r="A716" s="0" t="str">
        <f aca="false">CONCATENATE("__import__.res_partner_",C716)</f>
        <v>__import__.res_partner_20000010573</v>
      </c>
      <c r="B716" s="2" t="s">
        <v>6537</v>
      </c>
      <c r="C716" s="3" t="s">
        <v>6538</v>
      </c>
      <c r="D716" s="2" t="s">
        <v>6539</v>
      </c>
      <c r="F716" s="2" t="s">
        <v>30</v>
      </c>
      <c r="G716" s="2" t="s">
        <v>1664</v>
      </c>
      <c r="H716" s="2" t="s">
        <v>32</v>
      </c>
      <c r="K716" s="2" t="s">
        <v>6540</v>
      </c>
      <c r="L716" s="3" t="s">
        <v>3257</v>
      </c>
      <c r="M716" s="2" t="s">
        <v>6541</v>
      </c>
      <c r="O716" s="2" t="s">
        <v>2881</v>
      </c>
      <c r="P716" s="2" t="s">
        <v>37</v>
      </c>
      <c r="Q716" s="2" t="s">
        <v>6542</v>
      </c>
      <c r="R716" s="3" t="s">
        <v>6543</v>
      </c>
      <c r="T716" s="2" t="s">
        <v>108</v>
      </c>
      <c r="X716" s="2" t="n">
        <v>10573</v>
      </c>
      <c r="Y716" s="2" t="s">
        <v>678</v>
      </c>
      <c r="Z716" s="3" t="s">
        <v>6544</v>
      </c>
    </row>
    <row r="717" customFormat="false" ht="13.8" hidden="false" customHeight="false" outlineLevel="0" collapsed="false">
      <c r="A717" s="0" t="str">
        <f aca="false">CONCATENATE("__import__.res_partner_",C717)</f>
        <v>__import__.res_partner_20000010574</v>
      </c>
      <c r="B717" s="2" t="s">
        <v>6545</v>
      </c>
      <c r="C717" s="3" t="s">
        <v>6546</v>
      </c>
      <c r="D717" s="2" t="s">
        <v>6547</v>
      </c>
      <c r="F717" s="3" t="s">
        <v>557</v>
      </c>
      <c r="G717" s="2" t="s">
        <v>31</v>
      </c>
      <c r="H717" s="2" t="s">
        <v>32</v>
      </c>
      <c r="K717" s="2" t="s">
        <v>6548</v>
      </c>
      <c r="L717" s="3" t="s">
        <v>3257</v>
      </c>
      <c r="M717" s="2" t="s">
        <v>6549</v>
      </c>
      <c r="O717" s="2" t="s">
        <v>2881</v>
      </c>
      <c r="P717" s="2" t="s">
        <v>37</v>
      </c>
      <c r="Q717" s="2" t="s">
        <v>6550</v>
      </c>
      <c r="R717" s="3" t="s">
        <v>6551</v>
      </c>
      <c r="T717" s="2" t="s">
        <v>76</v>
      </c>
      <c r="X717" s="2" t="n">
        <v>10574</v>
      </c>
      <c r="Y717" s="2" t="s">
        <v>6552</v>
      </c>
      <c r="Z717" s="3" t="s">
        <v>6553</v>
      </c>
    </row>
    <row r="718" customFormat="false" ht="13.8" hidden="false" customHeight="false" outlineLevel="0" collapsed="false">
      <c r="A718" s="0" t="str">
        <f aca="false">CONCATENATE("__import__.res_partner_",C718)</f>
        <v>__import__.res_partner_20000010575</v>
      </c>
      <c r="B718" s="2" t="s">
        <v>6554</v>
      </c>
      <c r="C718" s="3" t="s">
        <v>6555</v>
      </c>
      <c r="D718" s="2" t="s">
        <v>6556</v>
      </c>
      <c r="F718" s="3" t="s">
        <v>557</v>
      </c>
      <c r="G718" s="2" t="s">
        <v>31</v>
      </c>
      <c r="H718" s="2" t="s">
        <v>32</v>
      </c>
      <c r="K718" s="2" t="s">
        <v>6557</v>
      </c>
      <c r="L718" s="3" t="s">
        <v>6558</v>
      </c>
      <c r="M718" s="2" t="s">
        <v>6559</v>
      </c>
      <c r="O718" s="2" t="s">
        <v>2838</v>
      </c>
      <c r="P718" s="2" t="s">
        <v>37</v>
      </c>
      <c r="Q718" s="2" t="s">
        <v>6560</v>
      </c>
      <c r="R718" s="3" t="s">
        <v>6561</v>
      </c>
      <c r="T718" s="2" t="s">
        <v>76</v>
      </c>
      <c r="X718" s="2" t="n">
        <v>10575</v>
      </c>
      <c r="Y718" s="2" t="s">
        <v>6562</v>
      </c>
      <c r="Z718" s="3" t="s">
        <v>6563</v>
      </c>
    </row>
    <row r="719" customFormat="false" ht="13.8" hidden="false" customHeight="false" outlineLevel="0" collapsed="false">
      <c r="A719" s="0" t="str">
        <f aca="false">CONCATENATE("__import__.res_partner_",C719)</f>
        <v>__import__.res_partner_20000010576</v>
      </c>
      <c r="B719" s="2" t="s">
        <v>6564</v>
      </c>
      <c r="C719" s="3" t="s">
        <v>6565</v>
      </c>
      <c r="D719" s="2" t="s">
        <v>6566</v>
      </c>
      <c r="F719" s="2" t="s">
        <v>30</v>
      </c>
      <c r="G719" s="2" t="s">
        <v>1664</v>
      </c>
      <c r="H719" s="2" t="s">
        <v>32</v>
      </c>
      <c r="K719" s="2" t="s">
        <v>6567</v>
      </c>
      <c r="L719" s="3" t="s">
        <v>4788</v>
      </c>
      <c r="M719" s="2" t="s">
        <v>6568</v>
      </c>
      <c r="O719" s="2" t="s">
        <v>4160</v>
      </c>
      <c r="P719" s="2" t="s">
        <v>37</v>
      </c>
      <c r="R719" s="3" t="s">
        <v>6569</v>
      </c>
      <c r="T719" s="2" t="s">
        <v>76</v>
      </c>
      <c r="X719" s="2" t="n">
        <v>10576</v>
      </c>
      <c r="Y719" s="2" t="s">
        <v>678</v>
      </c>
      <c r="Z719" s="3" t="s">
        <v>6570</v>
      </c>
    </row>
    <row r="720" customFormat="false" ht="13.8" hidden="false" customHeight="false" outlineLevel="0" collapsed="false">
      <c r="A720" s="0" t="str">
        <f aca="false">CONCATENATE("__import__.res_partner_",C720)</f>
        <v>__import__.res_partner_20000010577</v>
      </c>
      <c r="B720" s="2" t="s">
        <v>6571</v>
      </c>
      <c r="C720" s="3" t="s">
        <v>6572</v>
      </c>
      <c r="D720" s="2" t="s">
        <v>6573</v>
      </c>
      <c r="F720" s="2" t="s">
        <v>30</v>
      </c>
      <c r="G720" s="2" t="s">
        <v>31</v>
      </c>
      <c r="H720" s="2" t="s">
        <v>32</v>
      </c>
      <c r="K720" s="2" t="s">
        <v>6574</v>
      </c>
      <c r="L720" s="3" t="s">
        <v>6575</v>
      </c>
      <c r="M720" s="2" t="s">
        <v>6576</v>
      </c>
      <c r="O720" s="2" t="s">
        <v>49</v>
      </c>
      <c r="P720" s="2" t="s">
        <v>37</v>
      </c>
      <c r="R720" s="3" t="s">
        <v>6577</v>
      </c>
      <c r="T720" s="2" t="s">
        <v>97</v>
      </c>
      <c r="X720" s="2" t="n">
        <v>10577</v>
      </c>
      <c r="Y720" s="2" t="s">
        <v>678</v>
      </c>
      <c r="Z720" s="3" t="s">
        <v>6578</v>
      </c>
    </row>
    <row r="721" customFormat="false" ht="13.8" hidden="false" customHeight="false" outlineLevel="0" collapsed="false">
      <c r="A721" s="0" t="str">
        <f aca="false">CONCATENATE("__import__.res_partner_",C721)</f>
        <v>__import__.res_partner_20000010578</v>
      </c>
      <c r="B721" s="2" t="s">
        <v>6579</v>
      </c>
      <c r="C721" s="3" t="s">
        <v>6580</v>
      </c>
      <c r="D721" s="2" t="s">
        <v>6581</v>
      </c>
      <c r="F721" s="2" t="s">
        <v>30</v>
      </c>
      <c r="G721" s="2" t="s">
        <v>31</v>
      </c>
      <c r="H721" s="2" t="s">
        <v>32</v>
      </c>
      <c r="K721" s="2" t="s">
        <v>6582</v>
      </c>
      <c r="L721" s="3" t="s">
        <v>528</v>
      </c>
      <c r="M721" s="2" t="s">
        <v>6583</v>
      </c>
      <c r="O721" s="2" t="s">
        <v>2993</v>
      </c>
      <c r="P721" s="2" t="s">
        <v>37</v>
      </c>
      <c r="R721" s="2" t="s">
        <v>6584</v>
      </c>
      <c r="T721" s="2" t="s">
        <v>697</v>
      </c>
      <c r="X721" s="2" t="n">
        <v>10578</v>
      </c>
      <c r="Y721" s="2" t="s">
        <v>678</v>
      </c>
      <c r="Z721" s="3" t="s">
        <v>6585</v>
      </c>
    </row>
    <row r="722" customFormat="false" ht="13.8" hidden="false" customHeight="false" outlineLevel="0" collapsed="false">
      <c r="A722" s="0" t="str">
        <f aca="false">CONCATENATE("__import__.res_partner_",C722)</f>
        <v>__import__.res_partner_20000010579</v>
      </c>
      <c r="B722" s="2" t="s">
        <v>6586</v>
      </c>
      <c r="C722" s="3" t="s">
        <v>6587</v>
      </c>
      <c r="D722" s="2" t="s">
        <v>6588</v>
      </c>
      <c r="F722" s="2" t="s">
        <v>30</v>
      </c>
      <c r="G722" s="2" t="s">
        <v>31</v>
      </c>
      <c r="H722" s="2" t="s">
        <v>32</v>
      </c>
      <c r="K722" s="2" t="s">
        <v>6589</v>
      </c>
      <c r="L722" s="3" t="s">
        <v>6590</v>
      </c>
      <c r="M722" s="2" t="s">
        <v>6591</v>
      </c>
      <c r="O722" s="2" t="s">
        <v>6592</v>
      </c>
      <c r="P722" s="2" t="s">
        <v>37</v>
      </c>
      <c r="T722" s="2" t="s">
        <v>697</v>
      </c>
      <c r="X722" s="2" t="n">
        <v>10579</v>
      </c>
      <c r="Y722" s="2" t="s">
        <v>678</v>
      </c>
      <c r="Z722" s="3" t="s">
        <v>6593</v>
      </c>
    </row>
    <row r="723" customFormat="false" ht="13.8" hidden="false" customHeight="false" outlineLevel="0" collapsed="false">
      <c r="A723" s="0" t="str">
        <f aca="false">CONCATENATE("__import__.res_partner_",C723)</f>
        <v>__import__.res_partner_20000010581</v>
      </c>
      <c r="B723" s="2" t="s">
        <v>6594</v>
      </c>
      <c r="C723" s="3" t="s">
        <v>6595</v>
      </c>
      <c r="D723" s="2" t="s">
        <v>6596</v>
      </c>
      <c r="F723" s="2" t="s">
        <v>30</v>
      </c>
      <c r="G723" s="2" t="s">
        <v>31</v>
      </c>
      <c r="H723" s="2" t="s">
        <v>32</v>
      </c>
      <c r="K723" s="2" t="s">
        <v>6597</v>
      </c>
      <c r="L723" s="3" t="s">
        <v>6598</v>
      </c>
      <c r="M723" s="2" t="s">
        <v>6599</v>
      </c>
      <c r="O723" s="2" t="s">
        <v>6600</v>
      </c>
      <c r="P723" s="2" t="s">
        <v>37</v>
      </c>
      <c r="Q723" s="2" t="s">
        <v>6601</v>
      </c>
      <c r="T723" s="2" t="s">
        <v>697</v>
      </c>
      <c r="X723" s="2" t="n">
        <v>10581</v>
      </c>
      <c r="Y723" s="2" t="s">
        <v>6602</v>
      </c>
      <c r="Z723" s="3" t="s">
        <v>6603</v>
      </c>
    </row>
    <row r="724" customFormat="false" ht="13.8" hidden="false" customHeight="false" outlineLevel="0" collapsed="false">
      <c r="A724" s="0" t="str">
        <f aca="false">CONCATENATE("__import__.res_partner_",C724)</f>
        <v>__import__.res_partner_20000010582</v>
      </c>
      <c r="B724" s="2" t="s">
        <v>6604</v>
      </c>
      <c r="C724" s="3" t="s">
        <v>6605</v>
      </c>
      <c r="D724" s="2" t="s">
        <v>6606</v>
      </c>
      <c r="F724" s="2" t="s">
        <v>30</v>
      </c>
      <c r="G724" s="2" t="s">
        <v>31</v>
      </c>
      <c r="H724" s="2" t="s">
        <v>32</v>
      </c>
      <c r="K724" s="2" t="s">
        <v>6607</v>
      </c>
      <c r="L724" s="3" t="s">
        <v>92</v>
      </c>
      <c r="M724" s="2" t="s">
        <v>6608</v>
      </c>
      <c r="N724" s="2" t="s">
        <v>6609</v>
      </c>
      <c r="O724" s="2" t="s">
        <v>6610</v>
      </c>
      <c r="P724" s="2" t="s">
        <v>37</v>
      </c>
      <c r="Q724" s="2" t="s">
        <v>6611</v>
      </c>
      <c r="R724" s="2" t="s">
        <v>6612</v>
      </c>
      <c r="T724" s="2" t="s">
        <v>697</v>
      </c>
      <c r="X724" s="2" t="n">
        <v>10582</v>
      </c>
      <c r="Y724" s="2" t="s">
        <v>678</v>
      </c>
      <c r="Z724" s="3" t="s">
        <v>6613</v>
      </c>
    </row>
    <row r="725" customFormat="false" ht="13.8" hidden="false" customHeight="false" outlineLevel="0" collapsed="false">
      <c r="A725" s="0" t="str">
        <f aca="false">CONCATENATE("__import__.res_partner_",C725)</f>
        <v>__import__.res_partner_20000010583</v>
      </c>
      <c r="B725" s="2" t="s">
        <v>6614</v>
      </c>
      <c r="C725" s="3" t="s">
        <v>6615</v>
      </c>
      <c r="D725" s="2" t="s">
        <v>6616</v>
      </c>
      <c r="F725" s="3" t="s">
        <v>557</v>
      </c>
      <c r="G725" s="2" t="s">
        <v>31</v>
      </c>
      <c r="H725" s="2" t="s">
        <v>32</v>
      </c>
      <c r="K725" s="2" t="s">
        <v>6617</v>
      </c>
      <c r="L725" s="3" t="s">
        <v>2799</v>
      </c>
      <c r="M725" s="2" t="s">
        <v>6618</v>
      </c>
      <c r="O725" s="2" t="s">
        <v>2801</v>
      </c>
      <c r="P725" s="2" t="s">
        <v>37</v>
      </c>
      <c r="R725" s="2" t="s">
        <v>6619</v>
      </c>
      <c r="T725" s="2" t="s">
        <v>697</v>
      </c>
      <c r="X725" s="2" t="n">
        <v>10583</v>
      </c>
      <c r="Y725" s="2" t="s">
        <v>6312</v>
      </c>
      <c r="Z725" s="3" t="s">
        <v>6620</v>
      </c>
    </row>
    <row r="726" customFormat="false" ht="13.8" hidden="false" customHeight="false" outlineLevel="0" collapsed="false">
      <c r="A726" s="0" t="str">
        <f aca="false">CONCATENATE("__import__.res_partner_",C726)</f>
        <v>__import__.res_partner_20000010584</v>
      </c>
      <c r="B726" s="2" t="s">
        <v>6621</v>
      </c>
      <c r="C726" s="3" t="s">
        <v>6622</v>
      </c>
      <c r="D726" s="2" t="s">
        <v>6623</v>
      </c>
      <c r="F726" s="2" t="s">
        <v>30</v>
      </c>
      <c r="G726" s="2" t="s">
        <v>1664</v>
      </c>
      <c r="H726" s="2" t="s">
        <v>32</v>
      </c>
      <c r="K726" s="2" t="s">
        <v>6624</v>
      </c>
      <c r="L726" s="3" t="s">
        <v>4975</v>
      </c>
      <c r="M726" s="2" t="s">
        <v>6625</v>
      </c>
      <c r="O726" s="2" t="s">
        <v>2801</v>
      </c>
      <c r="P726" s="2" t="s">
        <v>37</v>
      </c>
      <c r="R726" s="2" t="s">
        <v>6626</v>
      </c>
      <c r="T726" s="2" t="s">
        <v>76</v>
      </c>
      <c r="X726" s="2" t="n">
        <v>10584</v>
      </c>
      <c r="Y726" s="2" t="s">
        <v>678</v>
      </c>
      <c r="Z726" s="3" t="s">
        <v>6627</v>
      </c>
    </row>
    <row r="727" customFormat="false" ht="13.8" hidden="false" customHeight="false" outlineLevel="0" collapsed="false">
      <c r="A727" s="0" t="str">
        <f aca="false">CONCATENATE("__import__.res_partner_",C727)</f>
        <v>__import__.res_partner_20000010585</v>
      </c>
      <c r="B727" s="2" t="s">
        <v>6628</v>
      </c>
      <c r="C727" s="3" t="s">
        <v>6629</v>
      </c>
      <c r="D727" s="2" t="s">
        <v>6630</v>
      </c>
      <c r="F727" s="3" t="s">
        <v>557</v>
      </c>
      <c r="G727" s="2" t="s">
        <v>1664</v>
      </c>
      <c r="H727" s="2" t="s">
        <v>32</v>
      </c>
      <c r="K727" s="2" t="s">
        <v>6631</v>
      </c>
      <c r="L727" s="3" t="s">
        <v>3257</v>
      </c>
      <c r="M727" s="2" t="s">
        <v>6632</v>
      </c>
      <c r="O727" s="2" t="s">
        <v>2881</v>
      </c>
      <c r="P727" s="2" t="s">
        <v>37</v>
      </c>
      <c r="R727" s="2" t="s">
        <v>6633</v>
      </c>
      <c r="T727" s="2" t="s">
        <v>76</v>
      </c>
      <c r="X727" s="2" t="n">
        <v>10585</v>
      </c>
      <c r="Y727" s="2" t="s">
        <v>6634</v>
      </c>
      <c r="Z727" s="3" t="s">
        <v>6635</v>
      </c>
    </row>
    <row r="728" customFormat="false" ht="13.8" hidden="false" customHeight="false" outlineLevel="0" collapsed="false">
      <c r="A728" s="0" t="str">
        <f aca="false">CONCATENATE("__import__.res_partner_",C728)</f>
        <v>__import__.res_partner_20000010586</v>
      </c>
      <c r="B728" s="2" t="s">
        <v>6636</v>
      </c>
      <c r="C728" s="3" t="s">
        <v>6637</v>
      </c>
      <c r="D728" s="2" t="s">
        <v>6638</v>
      </c>
      <c r="F728" s="2" t="s">
        <v>30</v>
      </c>
      <c r="G728" s="2" t="s">
        <v>1664</v>
      </c>
      <c r="H728" s="2" t="s">
        <v>32</v>
      </c>
      <c r="K728" s="2" t="s">
        <v>6639</v>
      </c>
      <c r="L728" s="3" t="s">
        <v>4822</v>
      </c>
      <c r="M728" s="2" t="s">
        <v>6640</v>
      </c>
      <c r="O728" s="2" t="s">
        <v>4143</v>
      </c>
      <c r="P728" s="2" t="s">
        <v>37</v>
      </c>
      <c r="R728" s="2" t="s">
        <v>6641</v>
      </c>
      <c r="T728" s="2" t="s">
        <v>76</v>
      </c>
      <c r="X728" s="2" t="n">
        <v>10586</v>
      </c>
      <c r="Y728" s="2" t="s">
        <v>678</v>
      </c>
      <c r="Z728" s="3" t="s">
        <v>6642</v>
      </c>
    </row>
    <row r="729" customFormat="false" ht="13.8" hidden="false" customHeight="false" outlineLevel="0" collapsed="false">
      <c r="A729" s="0" t="str">
        <f aca="false">CONCATENATE("__import__.res_partner_",C729)</f>
        <v>__import__.res_partner_20000010587</v>
      </c>
      <c r="B729" s="2" t="s">
        <v>6643</v>
      </c>
      <c r="C729" s="3" t="s">
        <v>6644</v>
      </c>
      <c r="D729" s="2" t="s">
        <v>6645</v>
      </c>
      <c r="F729" s="2" t="s">
        <v>30</v>
      </c>
      <c r="G729" s="2" t="s">
        <v>1664</v>
      </c>
      <c r="H729" s="2" t="s">
        <v>32</v>
      </c>
      <c r="K729" s="2" t="s">
        <v>6646</v>
      </c>
      <c r="L729" s="3" t="s">
        <v>4812</v>
      </c>
      <c r="M729" s="2" t="s">
        <v>6647</v>
      </c>
      <c r="O729" s="2" t="s">
        <v>2765</v>
      </c>
      <c r="P729" s="2" t="s">
        <v>37</v>
      </c>
      <c r="Q729" s="2" t="s">
        <v>6648</v>
      </c>
      <c r="R729" s="2" t="s">
        <v>6649</v>
      </c>
      <c r="T729" s="2" t="s">
        <v>76</v>
      </c>
      <c r="X729" s="2" t="n">
        <v>10587</v>
      </c>
      <c r="Y729" s="2" t="s">
        <v>678</v>
      </c>
      <c r="Z729" s="3" t="s">
        <v>6650</v>
      </c>
    </row>
    <row r="730" customFormat="false" ht="13.8" hidden="false" customHeight="false" outlineLevel="0" collapsed="false">
      <c r="A730" s="0" t="str">
        <f aca="false">CONCATENATE("__import__.res_partner_",C730)</f>
        <v>__import__.res_partner_20000010588</v>
      </c>
      <c r="B730" s="2" t="s">
        <v>6651</v>
      </c>
      <c r="C730" s="3" t="s">
        <v>6652</v>
      </c>
      <c r="D730" s="2" t="s">
        <v>6653</v>
      </c>
      <c r="F730" s="3" t="s">
        <v>557</v>
      </c>
      <c r="G730" s="2" t="s">
        <v>31</v>
      </c>
      <c r="H730" s="2" t="s">
        <v>32</v>
      </c>
      <c r="K730" s="2" t="s">
        <v>6654</v>
      </c>
      <c r="L730" s="3" t="s">
        <v>6655</v>
      </c>
      <c r="M730" s="2" t="s">
        <v>6656</v>
      </c>
      <c r="O730" s="2" t="s">
        <v>3833</v>
      </c>
      <c r="P730" s="2" t="s">
        <v>37</v>
      </c>
      <c r="Q730" s="2" t="s">
        <v>6657</v>
      </c>
      <c r="R730" s="2" t="s">
        <v>6658</v>
      </c>
      <c r="T730" s="2" t="s">
        <v>697</v>
      </c>
      <c r="X730" s="2" t="n">
        <v>10588</v>
      </c>
      <c r="Y730" s="2" t="s">
        <v>6659</v>
      </c>
      <c r="Z730" s="3" t="s">
        <v>6660</v>
      </c>
    </row>
    <row r="731" customFormat="false" ht="13.8" hidden="false" customHeight="false" outlineLevel="0" collapsed="false">
      <c r="A731" s="0" t="str">
        <f aca="false">CONCATENATE("__import__.res_partner_",C731)</f>
        <v>__import__.res_partner_20000010592</v>
      </c>
      <c r="B731" s="2" t="s">
        <v>6661</v>
      </c>
      <c r="C731" s="3" t="s">
        <v>6662</v>
      </c>
      <c r="D731" s="2" t="s">
        <v>6663</v>
      </c>
      <c r="F731" s="2" t="s">
        <v>30</v>
      </c>
      <c r="G731" s="2" t="s">
        <v>31</v>
      </c>
      <c r="H731" s="2" t="s">
        <v>32</v>
      </c>
      <c r="K731" s="2" t="s">
        <v>6664</v>
      </c>
      <c r="L731" s="3" t="s">
        <v>6665</v>
      </c>
      <c r="M731" s="2" t="s">
        <v>6666</v>
      </c>
      <c r="O731" s="2" t="s">
        <v>6667</v>
      </c>
      <c r="P731" s="2" t="s">
        <v>37</v>
      </c>
      <c r="T731" s="2" t="s">
        <v>697</v>
      </c>
      <c r="X731" s="2" t="n">
        <v>10592</v>
      </c>
      <c r="Y731" s="2" t="s">
        <v>678</v>
      </c>
      <c r="Z731" s="3" t="s">
        <v>6668</v>
      </c>
    </row>
    <row r="732" customFormat="false" ht="13.8" hidden="false" customHeight="false" outlineLevel="0" collapsed="false">
      <c r="A732" s="0" t="str">
        <f aca="false">CONCATENATE("__import__.res_partner_",C732)</f>
        <v>__import__.res_partner_20000010593</v>
      </c>
      <c r="B732" s="2" t="s">
        <v>6669</v>
      </c>
      <c r="C732" s="3" t="s">
        <v>6670</v>
      </c>
      <c r="D732" s="2" t="s">
        <v>6671</v>
      </c>
      <c r="F732" s="2" t="s">
        <v>30</v>
      </c>
      <c r="G732" s="2" t="s">
        <v>31</v>
      </c>
      <c r="H732" s="2" t="s">
        <v>32</v>
      </c>
      <c r="K732" s="2" t="s">
        <v>6672</v>
      </c>
      <c r="L732" s="3" t="s">
        <v>815</v>
      </c>
      <c r="M732" s="2" t="s">
        <v>6673</v>
      </c>
      <c r="O732" s="2" t="s">
        <v>6674</v>
      </c>
      <c r="P732" s="2" t="s">
        <v>37</v>
      </c>
      <c r="Q732" s="2" t="s">
        <v>6675</v>
      </c>
      <c r="R732" s="2" t="s">
        <v>6676</v>
      </c>
      <c r="T732" s="2" t="s">
        <v>40</v>
      </c>
      <c r="X732" s="2" t="n">
        <v>10593</v>
      </c>
      <c r="Y732" s="2" t="s">
        <v>6677</v>
      </c>
      <c r="Z732" s="3" t="s">
        <v>6678</v>
      </c>
    </row>
    <row r="733" customFormat="false" ht="13.8" hidden="false" customHeight="false" outlineLevel="0" collapsed="false">
      <c r="A733" s="0" t="str">
        <f aca="false">CONCATENATE("__import__.res_partner_",C733)</f>
        <v>__import__.res_partner_20000010594</v>
      </c>
      <c r="B733" s="2" t="s">
        <v>6679</v>
      </c>
      <c r="C733" s="3" t="s">
        <v>6680</v>
      </c>
      <c r="D733" s="2" t="s">
        <v>6681</v>
      </c>
      <c r="F733" s="2" t="s">
        <v>30</v>
      </c>
      <c r="G733" s="2" t="s">
        <v>31</v>
      </c>
      <c r="H733" s="2" t="s">
        <v>32</v>
      </c>
      <c r="K733" s="2" t="s">
        <v>6682</v>
      </c>
      <c r="L733" s="3" t="s">
        <v>3475</v>
      </c>
      <c r="M733" s="2" t="s">
        <v>6683</v>
      </c>
      <c r="N733" s="2" t="s">
        <v>6684</v>
      </c>
      <c r="O733" s="2" t="s">
        <v>3477</v>
      </c>
      <c r="P733" s="2" t="s">
        <v>37</v>
      </c>
      <c r="R733" s="2" t="s">
        <v>6685</v>
      </c>
      <c r="T733" s="2" t="s">
        <v>697</v>
      </c>
      <c r="X733" s="2" t="n">
        <v>10594</v>
      </c>
      <c r="Y733" s="2" t="s">
        <v>678</v>
      </c>
      <c r="Z733" s="3" t="s">
        <v>6686</v>
      </c>
    </row>
    <row r="734" customFormat="false" ht="13.8" hidden="false" customHeight="false" outlineLevel="0" collapsed="false">
      <c r="A734" s="0" t="str">
        <f aca="false">CONCATENATE("__import__.res_partner_",C734)</f>
        <v>__import__.res_partner_20000010595</v>
      </c>
      <c r="B734" s="2" t="s">
        <v>6687</v>
      </c>
      <c r="C734" s="3" t="s">
        <v>6688</v>
      </c>
      <c r="D734" s="2" t="s">
        <v>6689</v>
      </c>
      <c r="F734" s="2" t="s">
        <v>30</v>
      </c>
      <c r="G734" s="2" t="s">
        <v>31</v>
      </c>
      <c r="H734" s="2" t="s">
        <v>32</v>
      </c>
      <c r="K734" s="2" t="s">
        <v>6690</v>
      </c>
      <c r="L734" s="3" t="s">
        <v>2508</v>
      </c>
      <c r="M734" s="2" t="s">
        <v>6691</v>
      </c>
      <c r="O734" s="2" t="s">
        <v>6692</v>
      </c>
      <c r="P734" s="2" t="s">
        <v>37</v>
      </c>
      <c r="Q734" s="2" t="s">
        <v>6693</v>
      </c>
      <c r="R734" s="2" t="s">
        <v>6694</v>
      </c>
      <c r="T734" s="2" t="s">
        <v>697</v>
      </c>
      <c r="V734" s="2" t="s">
        <v>4271</v>
      </c>
      <c r="W734" s="2" t="s">
        <v>6695</v>
      </c>
      <c r="X734" s="2" t="n">
        <v>10595</v>
      </c>
      <c r="Y734" s="2" t="s">
        <v>6696</v>
      </c>
      <c r="Z734" s="3" t="s">
        <v>6697</v>
      </c>
    </row>
    <row r="735" customFormat="false" ht="13.8" hidden="false" customHeight="false" outlineLevel="0" collapsed="false">
      <c r="A735" s="0" t="str">
        <f aca="false">CONCATENATE("__import__.res_partner_",C735)</f>
        <v>__import__.res_partner_20000010596</v>
      </c>
      <c r="B735" s="2" t="s">
        <v>6698</v>
      </c>
      <c r="C735" s="3" t="s">
        <v>6699</v>
      </c>
      <c r="D735" s="2" t="s">
        <v>6700</v>
      </c>
      <c r="F735" s="2" t="s">
        <v>30</v>
      </c>
      <c r="G735" s="2" t="s">
        <v>31</v>
      </c>
      <c r="H735" s="2" t="s">
        <v>32</v>
      </c>
      <c r="K735" s="2" t="s">
        <v>6701</v>
      </c>
      <c r="L735" s="2" t="s">
        <v>6702</v>
      </c>
      <c r="M735" s="2" t="s">
        <v>6703</v>
      </c>
      <c r="O735" s="2" t="s">
        <v>4869</v>
      </c>
      <c r="P735" s="2" t="s">
        <v>675</v>
      </c>
      <c r="Q735" s="2" t="s">
        <v>6704</v>
      </c>
      <c r="T735" s="2" t="s">
        <v>697</v>
      </c>
      <c r="X735" s="2" t="n">
        <v>10596</v>
      </c>
      <c r="Y735" s="2" t="s">
        <v>678</v>
      </c>
      <c r="Z735" s="3" t="s">
        <v>6705</v>
      </c>
    </row>
    <row r="736" customFormat="false" ht="13.8" hidden="false" customHeight="false" outlineLevel="0" collapsed="false">
      <c r="A736" s="0" t="str">
        <f aca="false">CONCATENATE("__import__.res_partner_",C736)</f>
        <v>__import__.res_partner_20000010597</v>
      </c>
      <c r="B736" s="2" t="s">
        <v>6706</v>
      </c>
      <c r="C736" s="3" t="s">
        <v>6707</v>
      </c>
      <c r="D736" s="2" t="s">
        <v>6708</v>
      </c>
      <c r="F736" s="2" t="s">
        <v>30</v>
      </c>
      <c r="G736" s="2" t="s">
        <v>31</v>
      </c>
      <c r="H736" s="2" t="s">
        <v>32</v>
      </c>
      <c r="K736" s="2" t="s">
        <v>6709</v>
      </c>
      <c r="L736" s="3" t="s">
        <v>2763</v>
      </c>
      <c r="M736" s="2" t="s">
        <v>6710</v>
      </c>
      <c r="N736" s="2" t="s">
        <v>6711</v>
      </c>
      <c r="O736" s="2" t="s">
        <v>6712</v>
      </c>
      <c r="P736" s="2" t="s">
        <v>37</v>
      </c>
      <c r="Q736" s="2" t="s">
        <v>6713</v>
      </c>
      <c r="R736" s="2" t="s">
        <v>6714</v>
      </c>
      <c r="T736" s="2" t="s">
        <v>697</v>
      </c>
      <c r="X736" s="2" t="n">
        <v>10597</v>
      </c>
      <c r="Y736" s="2" t="s">
        <v>6715</v>
      </c>
      <c r="Z736" s="3" t="s">
        <v>6716</v>
      </c>
    </row>
    <row r="737" customFormat="false" ht="13.8" hidden="false" customHeight="false" outlineLevel="0" collapsed="false">
      <c r="A737" s="0" t="str">
        <f aca="false">CONCATENATE("__import__.res_partner_",C737)</f>
        <v>__import__.res_partner_20000010598</v>
      </c>
      <c r="B737" s="2" t="s">
        <v>6717</v>
      </c>
      <c r="C737" s="3" t="s">
        <v>6718</v>
      </c>
      <c r="D737" s="2" t="s">
        <v>6719</v>
      </c>
      <c r="F737" s="2" t="s">
        <v>30</v>
      </c>
      <c r="G737" s="2" t="s">
        <v>1664</v>
      </c>
      <c r="H737" s="2" t="s">
        <v>32</v>
      </c>
      <c r="K737" s="2" t="s">
        <v>6720</v>
      </c>
      <c r="L737" s="3" t="s">
        <v>1620</v>
      </c>
      <c r="M737" s="2" t="s">
        <v>6721</v>
      </c>
      <c r="O737" s="2" t="s">
        <v>49</v>
      </c>
      <c r="P737" s="2" t="s">
        <v>37</v>
      </c>
      <c r="T737" s="2" t="s">
        <v>97</v>
      </c>
      <c r="X737" s="2" t="n">
        <v>10598</v>
      </c>
      <c r="Y737" s="2" t="s">
        <v>6722</v>
      </c>
      <c r="Z737" s="3" t="s">
        <v>6723</v>
      </c>
    </row>
    <row r="738" customFormat="false" ht="13.8" hidden="false" customHeight="false" outlineLevel="0" collapsed="false">
      <c r="A738" s="0" t="str">
        <f aca="false">CONCATENATE("__import__.res_partner_",C738)</f>
        <v>__import__.res_partner_20000010599</v>
      </c>
      <c r="B738" s="2" t="s">
        <v>6724</v>
      </c>
      <c r="C738" s="3" t="s">
        <v>6725</v>
      </c>
      <c r="D738" s="2" t="s">
        <v>6726</v>
      </c>
      <c r="F738" s="3" t="s">
        <v>557</v>
      </c>
      <c r="G738" s="2" t="s">
        <v>31</v>
      </c>
      <c r="H738" s="2" t="s">
        <v>32</v>
      </c>
      <c r="K738" s="2" t="s">
        <v>6727</v>
      </c>
      <c r="L738" s="3" t="s">
        <v>5609</v>
      </c>
      <c r="M738" s="2" t="s">
        <v>6728</v>
      </c>
      <c r="O738" s="2" t="s">
        <v>4994</v>
      </c>
      <c r="P738" s="2" t="s">
        <v>37</v>
      </c>
      <c r="Q738" s="2" t="s">
        <v>6729</v>
      </c>
      <c r="R738" s="2" t="s">
        <v>6730</v>
      </c>
      <c r="T738" s="2" t="s">
        <v>697</v>
      </c>
      <c r="W738" s="2" t="s">
        <v>6731</v>
      </c>
      <c r="X738" s="2" t="n">
        <v>10599</v>
      </c>
      <c r="Y738" s="2" t="s">
        <v>6732</v>
      </c>
      <c r="Z738" s="3" t="s">
        <v>6733</v>
      </c>
    </row>
    <row r="739" customFormat="false" ht="13.8" hidden="false" customHeight="false" outlineLevel="0" collapsed="false">
      <c r="A739" s="0" t="str">
        <f aca="false">CONCATENATE("__import__.res_partner_",C739)</f>
        <v>__import__.res_partner_20000010600</v>
      </c>
      <c r="B739" s="2" t="s">
        <v>6734</v>
      </c>
      <c r="C739" s="3" t="s">
        <v>6735</v>
      </c>
      <c r="D739" s="2" t="s">
        <v>6736</v>
      </c>
      <c r="F739" s="2" t="s">
        <v>30</v>
      </c>
      <c r="G739" s="2" t="s">
        <v>1664</v>
      </c>
      <c r="H739" s="2" t="s">
        <v>32</v>
      </c>
      <c r="K739" s="2" t="s">
        <v>6737</v>
      </c>
      <c r="L739" s="3" t="s">
        <v>6738</v>
      </c>
      <c r="M739" s="2" t="s">
        <v>6739</v>
      </c>
      <c r="O739" s="2" t="s">
        <v>6740</v>
      </c>
      <c r="P739" s="2" t="s">
        <v>37</v>
      </c>
      <c r="R739" s="3" t="s">
        <v>6741</v>
      </c>
      <c r="T739" s="2" t="s">
        <v>76</v>
      </c>
      <c r="X739" s="2" t="n">
        <v>10600</v>
      </c>
      <c r="Y739" s="2" t="s">
        <v>678</v>
      </c>
      <c r="Z739" s="3" t="s">
        <v>6742</v>
      </c>
    </row>
    <row r="740" customFormat="false" ht="13.8" hidden="false" customHeight="false" outlineLevel="0" collapsed="false">
      <c r="A740" s="0" t="str">
        <f aca="false">CONCATENATE("__import__.res_partner_",C740)</f>
        <v>__import__.res_partner_20000010601</v>
      </c>
      <c r="B740" s="2" t="s">
        <v>6743</v>
      </c>
      <c r="C740" s="3" t="s">
        <v>6744</v>
      </c>
      <c r="D740" s="2" t="s">
        <v>6745</v>
      </c>
      <c r="F740" s="2" t="s">
        <v>30</v>
      </c>
      <c r="G740" s="2" t="s">
        <v>1664</v>
      </c>
      <c r="H740" s="2" t="s">
        <v>32</v>
      </c>
      <c r="K740" s="2" t="s">
        <v>6746</v>
      </c>
      <c r="L740" s="3" t="s">
        <v>6655</v>
      </c>
      <c r="M740" s="2" t="s">
        <v>6747</v>
      </c>
      <c r="N740" s="2" t="s">
        <v>6748</v>
      </c>
      <c r="O740" s="2" t="s">
        <v>3833</v>
      </c>
      <c r="P740" s="2" t="s">
        <v>37</v>
      </c>
      <c r="R740" s="2" t="s">
        <v>6749</v>
      </c>
      <c r="T740" s="2" t="s">
        <v>76</v>
      </c>
      <c r="X740" s="2" t="n">
        <v>10601</v>
      </c>
      <c r="Y740" s="2" t="s">
        <v>6750</v>
      </c>
      <c r="Z740" s="3" t="s">
        <v>6751</v>
      </c>
    </row>
    <row r="741" customFormat="false" ht="13.8" hidden="false" customHeight="false" outlineLevel="0" collapsed="false">
      <c r="A741" s="0" t="str">
        <f aca="false">CONCATENATE("__import__.res_partner_",C741)</f>
        <v>__import__.res_partner_20000010602</v>
      </c>
      <c r="B741" s="2" t="s">
        <v>6752</v>
      </c>
      <c r="C741" s="3" t="s">
        <v>6753</v>
      </c>
      <c r="D741" s="2" t="s">
        <v>6754</v>
      </c>
      <c r="F741" s="3" t="s">
        <v>557</v>
      </c>
      <c r="G741" s="2" t="s">
        <v>31</v>
      </c>
      <c r="H741" s="2" t="s">
        <v>32</v>
      </c>
      <c r="K741" s="2" t="s">
        <v>6755</v>
      </c>
      <c r="L741" s="3" t="s">
        <v>3789</v>
      </c>
      <c r="M741" s="2" t="s">
        <v>6756</v>
      </c>
      <c r="O741" s="2" t="s">
        <v>6757</v>
      </c>
      <c r="P741" s="2" t="s">
        <v>37</v>
      </c>
      <c r="R741" s="2" t="s">
        <v>6758</v>
      </c>
      <c r="T741" s="2" t="s">
        <v>76</v>
      </c>
      <c r="X741" s="2" t="n">
        <v>10602</v>
      </c>
      <c r="Y741" s="2" t="s">
        <v>6759</v>
      </c>
      <c r="Z741" s="3" t="s">
        <v>6760</v>
      </c>
    </row>
    <row r="742" customFormat="false" ht="13.8" hidden="false" customHeight="false" outlineLevel="0" collapsed="false">
      <c r="A742" s="0" t="str">
        <f aca="false">CONCATENATE("__import__.res_partner_",C742)</f>
        <v>__import__.res_partner_20000010603</v>
      </c>
      <c r="B742" s="2" t="s">
        <v>6761</v>
      </c>
      <c r="C742" s="3" t="s">
        <v>6762</v>
      </c>
      <c r="D742" s="2" t="s">
        <v>6763</v>
      </c>
      <c r="F742" s="3" t="s">
        <v>557</v>
      </c>
      <c r="G742" s="2" t="s">
        <v>1664</v>
      </c>
      <c r="H742" s="2" t="s">
        <v>32</v>
      </c>
      <c r="K742" s="2" t="s">
        <v>6764</v>
      </c>
      <c r="L742" s="3" t="s">
        <v>3257</v>
      </c>
      <c r="M742" s="2" t="s">
        <v>6765</v>
      </c>
      <c r="O742" s="2" t="s">
        <v>2881</v>
      </c>
      <c r="P742" s="2" t="s">
        <v>37</v>
      </c>
      <c r="R742" s="2" t="s">
        <v>6766</v>
      </c>
      <c r="T742" s="2" t="s">
        <v>76</v>
      </c>
      <c r="X742" s="2" t="n">
        <v>10603</v>
      </c>
      <c r="Y742" s="2" t="s">
        <v>6767</v>
      </c>
      <c r="Z742" s="3" t="s">
        <v>6768</v>
      </c>
    </row>
    <row r="743" customFormat="false" ht="13.8" hidden="false" customHeight="false" outlineLevel="0" collapsed="false">
      <c r="A743" s="0" t="str">
        <f aca="false">CONCATENATE("__import__.res_partner_",C743)</f>
        <v>__import__.res_partner_20000010604</v>
      </c>
      <c r="B743" s="2" t="s">
        <v>6769</v>
      </c>
      <c r="C743" s="3" t="s">
        <v>6770</v>
      </c>
      <c r="D743" s="2" t="s">
        <v>6771</v>
      </c>
      <c r="F743" s="3" t="s">
        <v>557</v>
      </c>
      <c r="G743" s="2" t="s">
        <v>31</v>
      </c>
      <c r="H743" s="2" t="s">
        <v>32</v>
      </c>
      <c r="K743" s="2" t="s">
        <v>6772</v>
      </c>
      <c r="L743" s="3" t="s">
        <v>6773</v>
      </c>
      <c r="M743" s="2" t="s">
        <v>6774</v>
      </c>
      <c r="O743" s="2" t="s">
        <v>49</v>
      </c>
      <c r="P743" s="2" t="s">
        <v>37</v>
      </c>
      <c r="Q743" s="2" t="s">
        <v>6775</v>
      </c>
      <c r="R743" s="2" t="s">
        <v>6776</v>
      </c>
      <c r="T743" s="2" t="s">
        <v>697</v>
      </c>
      <c r="W743" s="2" t="s">
        <v>6777</v>
      </c>
      <c r="X743" s="2" t="n">
        <v>10604</v>
      </c>
      <c r="Y743" s="2" t="s">
        <v>6778</v>
      </c>
      <c r="Z743" s="3" t="s">
        <v>6779</v>
      </c>
    </row>
    <row r="744" customFormat="false" ht="13.8" hidden="false" customHeight="false" outlineLevel="0" collapsed="false">
      <c r="A744" s="0" t="str">
        <f aca="false">CONCATENATE("__import__.res_partner_",C744)</f>
        <v>__import__.res_partner_20000010612</v>
      </c>
      <c r="B744" s="2" t="s">
        <v>6780</v>
      </c>
      <c r="C744" s="3" t="s">
        <v>6781</v>
      </c>
      <c r="D744" s="2" t="s">
        <v>6782</v>
      </c>
      <c r="F744" s="3" t="s">
        <v>557</v>
      </c>
      <c r="G744" s="2" t="s">
        <v>31</v>
      </c>
      <c r="H744" s="2" t="s">
        <v>32</v>
      </c>
      <c r="K744" s="2" t="s">
        <v>6783</v>
      </c>
      <c r="L744" s="3" t="s">
        <v>4822</v>
      </c>
      <c r="M744" s="2" t="s">
        <v>6784</v>
      </c>
      <c r="O744" s="2" t="s">
        <v>6785</v>
      </c>
      <c r="P744" s="2" t="s">
        <v>37</v>
      </c>
      <c r="T744" s="2" t="s">
        <v>76</v>
      </c>
      <c r="X744" s="2" t="n">
        <v>10612</v>
      </c>
      <c r="Y744" s="2" t="s">
        <v>6786</v>
      </c>
      <c r="Z744" s="3" t="s">
        <v>6787</v>
      </c>
    </row>
    <row r="745" customFormat="false" ht="13.8" hidden="false" customHeight="false" outlineLevel="0" collapsed="false">
      <c r="A745" s="0" t="str">
        <f aca="false">CONCATENATE("__import__.res_partner_",C745)</f>
        <v>__import__.res_partner_20000010613</v>
      </c>
      <c r="B745" s="2" t="s">
        <v>6788</v>
      </c>
      <c r="C745" s="3" t="s">
        <v>6789</v>
      </c>
      <c r="D745" s="2" t="s">
        <v>6790</v>
      </c>
      <c r="F745" s="2" t="s">
        <v>30</v>
      </c>
      <c r="G745" s="2" t="s">
        <v>31</v>
      </c>
      <c r="H745" s="2" t="s">
        <v>32</v>
      </c>
      <c r="K745" s="2" t="s">
        <v>6791</v>
      </c>
      <c r="L745" s="3" t="s">
        <v>6792</v>
      </c>
      <c r="M745" s="2" t="s">
        <v>6793</v>
      </c>
      <c r="O745" s="2" t="s">
        <v>2754</v>
      </c>
      <c r="P745" s="2" t="s">
        <v>37</v>
      </c>
      <c r="Q745" s="2" t="s">
        <v>6794</v>
      </c>
      <c r="R745" s="2" t="s">
        <v>6795</v>
      </c>
      <c r="T745" s="2" t="s">
        <v>697</v>
      </c>
      <c r="X745" s="2" t="n">
        <v>10613</v>
      </c>
      <c r="Y745" s="2" t="s">
        <v>678</v>
      </c>
      <c r="Z745" s="3" t="s">
        <v>6796</v>
      </c>
    </row>
    <row r="746" customFormat="false" ht="13.8" hidden="false" customHeight="false" outlineLevel="0" collapsed="false">
      <c r="A746" s="0" t="str">
        <f aca="false">CONCATENATE("__import__.res_partner_",C746)</f>
        <v>__import__.res_partner_20000010614</v>
      </c>
      <c r="B746" s="2" t="s">
        <v>6797</v>
      </c>
      <c r="C746" s="3" t="s">
        <v>6798</v>
      </c>
      <c r="D746" s="2" t="s">
        <v>6799</v>
      </c>
      <c r="F746" s="3" t="s">
        <v>557</v>
      </c>
      <c r="G746" s="2" t="s">
        <v>31</v>
      </c>
      <c r="H746" s="2" t="s">
        <v>32</v>
      </c>
      <c r="K746" s="2" t="s">
        <v>6800</v>
      </c>
      <c r="L746" s="3" t="s">
        <v>4788</v>
      </c>
      <c r="M746" s="2" t="s">
        <v>6801</v>
      </c>
      <c r="O746" s="2" t="s">
        <v>6802</v>
      </c>
      <c r="P746" s="2" t="s">
        <v>37</v>
      </c>
      <c r="Q746" s="2" t="s">
        <v>6803</v>
      </c>
      <c r="R746" s="2" t="s">
        <v>6804</v>
      </c>
      <c r="T746" s="2" t="s">
        <v>697</v>
      </c>
      <c r="X746" s="2" t="n">
        <v>10614</v>
      </c>
      <c r="Y746" s="2" t="s">
        <v>6805</v>
      </c>
      <c r="Z746" s="3" t="s">
        <v>6806</v>
      </c>
    </row>
    <row r="747" customFormat="false" ht="13.8" hidden="false" customHeight="false" outlineLevel="0" collapsed="false">
      <c r="A747" s="0" t="str">
        <f aca="false">CONCATENATE("__import__.res_partner_",C747)</f>
        <v>__import__.res_partner_20000010615</v>
      </c>
      <c r="B747" s="2" t="s">
        <v>6807</v>
      </c>
      <c r="C747" s="3" t="s">
        <v>6808</v>
      </c>
      <c r="D747" s="2" t="s">
        <v>6809</v>
      </c>
      <c r="F747" s="2" t="s">
        <v>30</v>
      </c>
      <c r="G747" s="2" t="s">
        <v>31</v>
      </c>
      <c r="H747" s="2" t="s">
        <v>32</v>
      </c>
      <c r="K747" s="2" t="s">
        <v>6810</v>
      </c>
      <c r="L747" s="3" t="s">
        <v>2763</v>
      </c>
      <c r="M747" s="2" t="s">
        <v>6811</v>
      </c>
      <c r="O747" s="2" t="s">
        <v>6712</v>
      </c>
      <c r="P747" s="2" t="s">
        <v>37</v>
      </c>
      <c r="Q747" s="2" t="s">
        <v>6812</v>
      </c>
      <c r="R747" s="2" t="s">
        <v>6813</v>
      </c>
      <c r="T747" s="2" t="s">
        <v>76</v>
      </c>
      <c r="X747" s="2" t="n">
        <v>10615</v>
      </c>
      <c r="Y747" s="2" t="s">
        <v>6814</v>
      </c>
      <c r="Z747" s="3" t="s">
        <v>6815</v>
      </c>
    </row>
    <row r="748" customFormat="false" ht="13.8" hidden="false" customHeight="false" outlineLevel="0" collapsed="false">
      <c r="A748" s="0" t="str">
        <f aca="false">CONCATENATE("__import__.res_partner_",C748)</f>
        <v>__import__.res_partner_20000010616</v>
      </c>
      <c r="B748" s="2" t="s">
        <v>6816</v>
      </c>
      <c r="C748" s="3" t="s">
        <v>6817</v>
      </c>
      <c r="D748" s="2" t="s">
        <v>6818</v>
      </c>
      <c r="F748" s="2" t="s">
        <v>30</v>
      </c>
      <c r="G748" s="2" t="s">
        <v>31</v>
      </c>
      <c r="H748" s="2" t="s">
        <v>32</v>
      </c>
      <c r="K748" s="2" t="s">
        <v>6819</v>
      </c>
      <c r="L748" s="3" t="s">
        <v>6820</v>
      </c>
      <c r="M748" s="2" t="s">
        <v>6821</v>
      </c>
      <c r="O748" s="2" t="s">
        <v>6822</v>
      </c>
      <c r="P748" s="2" t="s">
        <v>37</v>
      </c>
      <c r="Q748" s="2" t="s">
        <v>271</v>
      </c>
      <c r="R748" s="3" t="s">
        <v>6823</v>
      </c>
      <c r="T748" s="2" t="s">
        <v>40</v>
      </c>
      <c r="X748" s="2" t="n">
        <v>10616</v>
      </c>
      <c r="Y748" s="2" t="s">
        <v>6824</v>
      </c>
      <c r="Z748" s="3" t="s">
        <v>6825</v>
      </c>
    </row>
    <row r="749" customFormat="false" ht="13.8" hidden="false" customHeight="false" outlineLevel="0" collapsed="false">
      <c r="A749" s="0" t="str">
        <f aca="false">CONCATENATE("__import__.res_partner_",C749)</f>
        <v>__import__.res_partner_20000010617</v>
      </c>
      <c r="B749" s="2" t="s">
        <v>6826</v>
      </c>
      <c r="C749" s="3" t="s">
        <v>6827</v>
      </c>
      <c r="D749" s="2" t="s">
        <v>6828</v>
      </c>
      <c r="F749" s="3" t="s">
        <v>557</v>
      </c>
      <c r="G749" s="2" t="s">
        <v>31</v>
      </c>
      <c r="H749" s="2" t="s">
        <v>32</v>
      </c>
      <c r="K749" s="2" t="s">
        <v>6829</v>
      </c>
      <c r="L749" s="3" t="s">
        <v>6830</v>
      </c>
      <c r="M749" s="2" t="s">
        <v>6831</v>
      </c>
      <c r="O749" s="2" t="s">
        <v>6832</v>
      </c>
      <c r="P749" s="2" t="s">
        <v>37</v>
      </c>
      <c r="R749" s="2" t="s">
        <v>6833</v>
      </c>
      <c r="T749" s="2" t="s">
        <v>697</v>
      </c>
      <c r="X749" s="2" t="n">
        <v>10617</v>
      </c>
      <c r="Y749" s="2" t="s">
        <v>6834</v>
      </c>
      <c r="Z749" s="3" t="s">
        <v>6835</v>
      </c>
    </row>
    <row r="750" customFormat="false" ht="13.8" hidden="false" customHeight="false" outlineLevel="0" collapsed="false">
      <c r="A750" s="0" t="str">
        <f aca="false">CONCATENATE("__import__.res_partner_",C750)</f>
        <v>__import__.res_partner_20000010618</v>
      </c>
      <c r="B750" s="2" t="s">
        <v>6836</v>
      </c>
      <c r="C750" s="3" t="s">
        <v>6837</v>
      </c>
      <c r="D750" s="2" t="s">
        <v>6838</v>
      </c>
      <c r="F750" s="2" t="s">
        <v>30</v>
      </c>
      <c r="G750" s="2" t="s">
        <v>31</v>
      </c>
      <c r="H750" s="2" t="s">
        <v>32</v>
      </c>
      <c r="K750" s="2" t="s">
        <v>6839</v>
      </c>
      <c r="L750" s="3" t="s">
        <v>6840</v>
      </c>
      <c r="M750" s="2" t="s">
        <v>6841</v>
      </c>
      <c r="O750" s="2" t="s">
        <v>6842</v>
      </c>
      <c r="P750" s="2" t="s">
        <v>37</v>
      </c>
      <c r="Q750" s="2" t="s">
        <v>74</v>
      </c>
      <c r="R750" s="2" t="s">
        <v>6843</v>
      </c>
      <c r="T750" s="2" t="s">
        <v>697</v>
      </c>
      <c r="X750" s="2" t="n">
        <v>10618</v>
      </c>
      <c r="Y750" s="2" t="s">
        <v>6844</v>
      </c>
      <c r="Z750" s="3" t="s">
        <v>6845</v>
      </c>
    </row>
    <row r="751" customFormat="false" ht="13.8" hidden="false" customHeight="false" outlineLevel="0" collapsed="false">
      <c r="A751" s="0" t="str">
        <f aca="false">CONCATENATE("__import__.res_partner_",C751)</f>
        <v>__import__.res_partner_20000010619</v>
      </c>
      <c r="B751" s="2" t="s">
        <v>6846</v>
      </c>
      <c r="C751" s="3" t="s">
        <v>6847</v>
      </c>
      <c r="D751" s="2" t="s">
        <v>6848</v>
      </c>
      <c r="F751" s="2" t="s">
        <v>30</v>
      </c>
      <c r="G751" s="2" t="s">
        <v>31</v>
      </c>
      <c r="H751" s="2" t="s">
        <v>32</v>
      </c>
      <c r="K751" s="2" t="s">
        <v>6849</v>
      </c>
      <c r="L751" s="2" t="s">
        <v>6850</v>
      </c>
      <c r="M751" s="2" t="s">
        <v>6851</v>
      </c>
      <c r="O751" s="2" t="s">
        <v>6852</v>
      </c>
      <c r="P751" s="2" t="s">
        <v>675</v>
      </c>
      <c r="Q751" s="2" t="s">
        <v>6853</v>
      </c>
      <c r="R751" s="2" t="s">
        <v>6854</v>
      </c>
      <c r="T751" s="2" t="s">
        <v>697</v>
      </c>
      <c r="X751" s="2" t="n">
        <v>10619</v>
      </c>
      <c r="Y751" s="2" t="s">
        <v>6855</v>
      </c>
      <c r="Z751" s="3" t="s">
        <v>6856</v>
      </c>
    </row>
    <row r="752" customFormat="false" ht="13.8" hidden="false" customHeight="false" outlineLevel="0" collapsed="false">
      <c r="A752" s="0" t="str">
        <f aca="false">CONCATENATE("__import__.res_partner_",C752)</f>
        <v>__import__.res_partner_20000010627</v>
      </c>
      <c r="B752" s="2" t="s">
        <v>6857</v>
      </c>
      <c r="C752" s="3" t="s">
        <v>6858</v>
      </c>
      <c r="D752" s="2" t="s">
        <v>6859</v>
      </c>
      <c r="F752" s="2" t="s">
        <v>30</v>
      </c>
      <c r="G752" s="2" t="s">
        <v>31</v>
      </c>
      <c r="H752" s="2" t="s">
        <v>32</v>
      </c>
      <c r="K752" s="2" t="s">
        <v>6860</v>
      </c>
      <c r="L752" s="3" t="s">
        <v>3465</v>
      </c>
      <c r="M752" s="2" t="s">
        <v>6861</v>
      </c>
      <c r="O752" s="2" t="s">
        <v>36</v>
      </c>
      <c r="P752" s="2" t="s">
        <v>37</v>
      </c>
      <c r="Q752" s="2" t="s">
        <v>6862</v>
      </c>
      <c r="R752" s="2" t="s">
        <v>6863</v>
      </c>
      <c r="T752" s="2" t="s">
        <v>697</v>
      </c>
      <c r="X752" s="2" t="n">
        <v>10627</v>
      </c>
      <c r="Y752" s="2" t="s">
        <v>678</v>
      </c>
      <c r="Z752" s="3" t="s">
        <v>6864</v>
      </c>
    </row>
    <row r="753" customFormat="false" ht="13.8" hidden="false" customHeight="false" outlineLevel="0" collapsed="false">
      <c r="A753" s="0" t="str">
        <f aca="false">CONCATENATE("__import__.res_partner_",C753)</f>
        <v>__import__.res_partner_20000010629</v>
      </c>
      <c r="B753" s="2" t="s">
        <v>6865</v>
      </c>
      <c r="C753" s="3" t="s">
        <v>6866</v>
      </c>
      <c r="D753" s="2" t="s">
        <v>6867</v>
      </c>
      <c r="F753" s="2" t="s">
        <v>30</v>
      </c>
      <c r="G753" s="2" t="s">
        <v>31</v>
      </c>
      <c r="H753" s="2" t="s">
        <v>32</v>
      </c>
      <c r="K753" s="2" t="s">
        <v>6868</v>
      </c>
      <c r="L753" s="3" t="s">
        <v>6869</v>
      </c>
      <c r="M753" s="2" t="s">
        <v>6870</v>
      </c>
      <c r="O753" s="2" t="s">
        <v>6871</v>
      </c>
      <c r="P753" s="2" t="s">
        <v>2404</v>
      </c>
      <c r="R753" s="2" t="s">
        <v>6863</v>
      </c>
      <c r="T753" s="2" t="s">
        <v>697</v>
      </c>
      <c r="X753" s="2" t="n">
        <v>10629</v>
      </c>
      <c r="Y753" s="2" t="s">
        <v>678</v>
      </c>
      <c r="Z753" s="3" t="s">
        <v>6872</v>
      </c>
    </row>
    <row r="754" customFormat="false" ht="13.8" hidden="false" customHeight="false" outlineLevel="0" collapsed="false">
      <c r="A754" s="0" t="str">
        <f aca="false">CONCATENATE("__import__.res_partner_",C754)</f>
        <v>__import__.res_partner_20000010632</v>
      </c>
      <c r="B754" s="2" t="s">
        <v>6873</v>
      </c>
      <c r="C754" s="3" t="s">
        <v>6874</v>
      </c>
      <c r="D754" s="2" t="s">
        <v>6875</v>
      </c>
      <c r="F754" s="2" t="s">
        <v>30</v>
      </c>
      <c r="G754" s="2" t="s">
        <v>1664</v>
      </c>
      <c r="H754" s="2" t="s">
        <v>32</v>
      </c>
      <c r="K754" s="2" t="s">
        <v>6876</v>
      </c>
      <c r="L754" s="3" t="s">
        <v>5594</v>
      </c>
      <c r="M754" s="2" t="s">
        <v>6877</v>
      </c>
      <c r="O754" s="2" t="s">
        <v>49</v>
      </c>
      <c r="P754" s="2" t="s">
        <v>37</v>
      </c>
      <c r="T754" s="2" t="s">
        <v>97</v>
      </c>
      <c r="X754" s="2" t="n">
        <v>10632</v>
      </c>
      <c r="Y754" s="2" t="s">
        <v>6878</v>
      </c>
      <c r="Z754" s="3" t="s">
        <v>6879</v>
      </c>
    </row>
    <row r="755" customFormat="false" ht="13.8" hidden="false" customHeight="false" outlineLevel="0" collapsed="false">
      <c r="A755" s="0" t="str">
        <f aca="false">CONCATENATE("__import__.res_partner_",C755)</f>
        <v>__import__.res_partner_20000010633</v>
      </c>
      <c r="B755" s="2" t="s">
        <v>6880</v>
      </c>
      <c r="C755" s="3" t="s">
        <v>6881</v>
      </c>
      <c r="D755" s="2" t="s">
        <v>6882</v>
      </c>
      <c r="F755" s="2" t="s">
        <v>30</v>
      </c>
      <c r="G755" s="2" t="s">
        <v>1664</v>
      </c>
      <c r="H755" s="2" t="s">
        <v>32</v>
      </c>
      <c r="K755" s="2" t="s">
        <v>6883</v>
      </c>
      <c r="L755" s="3" t="s">
        <v>4788</v>
      </c>
      <c r="M755" s="2" t="s">
        <v>6884</v>
      </c>
      <c r="O755" s="2" t="s">
        <v>6802</v>
      </c>
      <c r="P755" s="2" t="s">
        <v>37</v>
      </c>
      <c r="Q755" s="2" t="s">
        <v>6885</v>
      </c>
      <c r="R755" s="3" t="s">
        <v>6886</v>
      </c>
      <c r="T755" s="2" t="s">
        <v>697</v>
      </c>
      <c r="X755" s="2" t="n">
        <v>10633</v>
      </c>
      <c r="Y755" s="2" t="s">
        <v>678</v>
      </c>
      <c r="Z755" s="3" t="s">
        <v>6887</v>
      </c>
    </row>
    <row r="756" customFormat="false" ht="13.8" hidden="false" customHeight="false" outlineLevel="0" collapsed="false">
      <c r="A756" s="0" t="str">
        <f aca="false">CONCATENATE("__import__.res_partner_",C756)</f>
        <v>__import__.res_partner_20000010634</v>
      </c>
      <c r="B756" s="2" t="s">
        <v>6888</v>
      </c>
      <c r="C756" s="3" t="s">
        <v>6889</v>
      </c>
      <c r="D756" s="2" t="s">
        <v>6890</v>
      </c>
      <c r="F756" s="2" t="s">
        <v>30</v>
      </c>
      <c r="G756" s="2" t="s">
        <v>1664</v>
      </c>
      <c r="H756" s="2" t="s">
        <v>32</v>
      </c>
      <c r="K756" s="2" t="s">
        <v>6891</v>
      </c>
      <c r="L756" s="3" t="s">
        <v>6475</v>
      </c>
      <c r="M756" s="2" t="s">
        <v>6892</v>
      </c>
      <c r="O756" s="2" t="s">
        <v>6477</v>
      </c>
      <c r="P756" s="2" t="s">
        <v>37</v>
      </c>
      <c r="Q756" s="2" t="s">
        <v>6893</v>
      </c>
      <c r="T756" s="2" t="s">
        <v>697</v>
      </c>
      <c r="X756" s="2" t="n">
        <v>10634</v>
      </c>
      <c r="Y756" s="2" t="s">
        <v>678</v>
      </c>
      <c r="Z756" s="3" t="s">
        <v>6894</v>
      </c>
    </row>
    <row r="757" customFormat="false" ht="13.8" hidden="false" customHeight="false" outlineLevel="0" collapsed="false">
      <c r="A757" s="0" t="str">
        <f aca="false">CONCATENATE("__import__.res_partner_",C757)</f>
        <v>__import__.res_partner_20000010635</v>
      </c>
      <c r="B757" s="2" t="s">
        <v>6895</v>
      </c>
      <c r="C757" s="3" t="s">
        <v>6896</v>
      </c>
      <c r="D757" s="2" t="s">
        <v>6897</v>
      </c>
      <c r="F757" s="2" t="s">
        <v>30</v>
      </c>
      <c r="G757" s="2" t="s">
        <v>1664</v>
      </c>
      <c r="H757" s="2" t="s">
        <v>32</v>
      </c>
      <c r="K757" s="2" t="s">
        <v>6898</v>
      </c>
      <c r="L757" s="3" t="s">
        <v>6899</v>
      </c>
      <c r="M757" s="2" t="s">
        <v>6900</v>
      </c>
      <c r="O757" s="2" t="s">
        <v>6901</v>
      </c>
      <c r="P757" s="2" t="s">
        <v>37</v>
      </c>
      <c r="T757" s="2" t="s">
        <v>697</v>
      </c>
      <c r="X757" s="2" t="n">
        <v>10635</v>
      </c>
      <c r="Y757" s="2" t="s">
        <v>6902</v>
      </c>
      <c r="Z757" s="3" t="s">
        <v>6903</v>
      </c>
    </row>
    <row r="758" customFormat="false" ht="13.8" hidden="false" customHeight="false" outlineLevel="0" collapsed="false">
      <c r="A758" s="0" t="str">
        <f aca="false">CONCATENATE("__import__.res_partner_",C758)</f>
        <v>__import__.res_partner_20000010636</v>
      </c>
      <c r="B758" s="2" t="s">
        <v>6904</v>
      </c>
      <c r="C758" s="3" t="s">
        <v>6905</v>
      </c>
      <c r="D758" s="2" t="s">
        <v>6906</v>
      </c>
      <c r="F758" s="2" t="s">
        <v>30</v>
      </c>
      <c r="G758" s="2" t="s">
        <v>1664</v>
      </c>
      <c r="H758" s="2" t="s">
        <v>32</v>
      </c>
      <c r="K758" s="2" t="s">
        <v>6907</v>
      </c>
      <c r="L758" s="3" t="s">
        <v>6908</v>
      </c>
      <c r="M758" s="2" t="s">
        <v>6909</v>
      </c>
      <c r="O758" s="2" t="s">
        <v>6910</v>
      </c>
      <c r="P758" s="2" t="s">
        <v>37</v>
      </c>
      <c r="T758" s="2" t="s">
        <v>76</v>
      </c>
      <c r="X758" s="2" t="n">
        <v>10636</v>
      </c>
      <c r="Y758" s="2" t="s">
        <v>6911</v>
      </c>
      <c r="Z758" s="3" t="s">
        <v>6912</v>
      </c>
    </row>
    <row r="759" customFormat="false" ht="13.8" hidden="false" customHeight="false" outlineLevel="0" collapsed="false">
      <c r="A759" s="0" t="str">
        <f aca="false">CONCATENATE("__import__.res_partner_",C759)</f>
        <v>__import__.res_partner_20000010637</v>
      </c>
      <c r="B759" s="2" t="s">
        <v>6913</v>
      </c>
      <c r="C759" s="3" t="s">
        <v>6914</v>
      </c>
      <c r="D759" s="2" t="s">
        <v>6915</v>
      </c>
      <c r="F759" s="2" t="s">
        <v>30</v>
      </c>
      <c r="G759" s="2" t="s">
        <v>31</v>
      </c>
      <c r="H759" s="2" t="s">
        <v>32</v>
      </c>
      <c r="K759" s="2" t="s">
        <v>6916</v>
      </c>
      <c r="L759" s="3" t="s">
        <v>2868</v>
      </c>
      <c r="M759" s="2" t="s">
        <v>6917</v>
      </c>
      <c r="O759" s="2" t="s">
        <v>2754</v>
      </c>
      <c r="P759" s="2" t="s">
        <v>37</v>
      </c>
      <c r="Q759" s="2" t="s">
        <v>6918</v>
      </c>
      <c r="R759" s="2" t="s">
        <v>6919</v>
      </c>
      <c r="T759" s="2" t="s">
        <v>76</v>
      </c>
      <c r="X759" s="2" t="n">
        <v>10637</v>
      </c>
      <c r="Y759" s="2" t="s">
        <v>678</v>
      </c>
      <c r="Z759" s="3" t="s">
        <v>6920</v>
      </c>
    </row>
    <row r="760" customFormat="false" ht="13.8" hidden="false" customHeight="false" outlineLevel="0" collapsed="false">
      <c r="A760" s="0" t="str">
        <f aca="false">CONCATENATE("__import__.res_partner_",C760)</f>
        <v>__import__.res_partner_20000010638</v>
      </c>
      <c r="B760" s="2" t="s">
        <v>6921</v>
      </c>
      <c r="C760" s="3" t="s">
        <v>6922</v>
      </c>
      <c r="D760" s="2" t="s">
        <v>6923</v>
      </c>
      <c r="F760" s="2" t="s">
        <v>30</v>
      </c>
      <c r="G760" s="2" t="s">
        <v>31</v>
      </c>
      <c r="H760" s="2" t="s">
        <v>32</v>
      </c>
      <c r="K760" s="2" t="s">
        <v>6924</v>
      </c>
      <c r="L760" s="3" t="s">
        <v>3945</v>
      </c>
      <c r="M760" s="2" t="s">
        <v>6925</v>
      </c>
      <c r="O760" s="2" t="s">
        <v>2754</v>
      </c>
      <c r="P760" s="2" t="s">
        <v>37</v>
      </c>
      <c r="Q760" s="2" t="s">
        <v>6926</v>
      </c>
      <c r="R760" s="2" t="s">
        <v>6927</v>
      </c>
      <c r="T760" s="2" t="s">
        <v>697</v>
      </c>
      <c r="V760" s="2" t="s">
        <v>5653</v>
      </c>
      <c r="W760" s="2" t="s">
        <v>6928</v>
      </c>
      <c r="X760" s="2" t="n">
        <v>10638</v>
      </c>
      <c r="Y760" s="2" t="s">
        <v>6929</v>
      </c>
      <c r="Z760" s="3" t="s">
        <v>6930</v>
      </c>
    </row>
    <row r="761" customFormat="false" ht="13.8" hidden="false" customHeight="false" outlineLevel="0" collapsed="false">
      <c r="A761" s="0" t="str">
        <f aca="false">CONCATENATE("__import__.res_partner_",C761)</f>
        <v>__import__.res_partner_20000010639</v>
      </c>
      <c r="B761" s="2" t="s">
        <v>6931</v>
      </c>
      <c r="C761" s="3" t="s">
        <v>6932</v>
      </c>
      <c r="D761" s="2" t="s">
        <v>6933</v>
      </c>
      <c r="F761" s="2" t="s">
        <v>30</v>
      </c>
      <c r="G761" s="2" t="s">
        <v>31</v>
      </c>
      <c r="H761" s="2" t="s">
        <v>32</v>
      </c>
      <c r="K761" s="2" t="s">
        <v>6934</v>
      </c>
      <c r="L761" s="3" t="s">
        <v>2243</v>
      </c>
      <c r="M761" s="2" t="s">
        <v>6935</v>
      </c>
      <c r="O761" s="2" t="s">
        <v>6442</v>
      </c>
      <c r="P761" s="2" t="s">
        <v>37</v>
      </c>
      <c r="Q761" s="2" t="s">
        <v>6936</v>
      </c>
      <c r="R761" s="3" t="s">
        <v>6937</v>
      </c>
      <c r="T761" s="2" t="s">
        <v>40</v>
      </c>
      <c r="X761" s="2" t="n">
        <v>10639</v>
      </c>
      <c r="Y761" s="2" t="s">
        <v>6933</v>
      </c>
      <c r="Z761" s="3" t="s">
        <v>6938</v>
      </c>
      <c r="AA761" s="2" t="s">
        <v>6939</v>
      </c>
    </row>
    <row r="762" customFormat="false" ht="13.8" hidden="false" customHeight="false" outlineLevel="0" collapsed="false">
      <c r="A762" s="0" t="str">
        <f aca="false">CONCATENATE("__import__.res_partner_",C762)</f>
        <v>__import__.res_partner_20000010640</v>
      </c>
      <c r="B762" s="2" t="s">
        <v>6940</v>
      </c>
      <c r="C762" s="3" t="s">
        <v>6941</v>
      </c>
      <c r="D762" s="2" t="s">
        <v>6942</v>
      </c>
      <c r="F762" s="2" t="s">
        <v>30</v>
      </c>
      <c r="G762" s="2" t="s">
        <v>31</v>
      </c>
      <c r="H762" s="2" t="s">
        <v>32</v>
      </c>
      <c r="K762" s="2" t="s">
        <v>6943</v>
      </c>
      <c r="L762" s="3" t="s">
        <v>6944</v>
      </c>
      <c r="M762" s="2" t="s">
        <v>6945</v>
      </c>
      <c r="O762" s="2" t="s">
        <v>6946</v>
      </c>
      <c r="P762" s="2" t="s">
        <v>37</v>
      </c>
      <c r="Q762" s="2" t="s">
        <v>6947</v>
      </c>
      <c r="T762" s="2" t="s">
        <v>697</v>
      </c>
      <c r="X762" s="2" t="n">
        <v>10640</v>
      </c>
      <c r="Y762" s="2" t="s">
        <v>678</v>
      </c>
      <c r="Z762" s="3" t="s">
        <v>6948</v>
      </c>
    </row>
    <row r="763" customFormat="false" ht="13.8" hidden="false" customHeight="false" outlineLevel="0" collapsed="false">
      <c r="A763" s="0" t="str">
        <f aca="false">CONCATENATE("__import__.res_partner_",C763)</f>
        <v>__import__.res_partner_20000010641</v>
      </c>
      <c r="B763" s="2" t="s">
        <v>6949</v>
      </c>
      <c r="C763" s="3" t="s">
        <v>6950</v>
      </c>
      <c r="D763" s="2" t="s">
        <v>6951</v>
      </c>
      <c r="F763" s="2" t="s">
        <v>30</v>
      </c>
      <c r="G763" s="2" t="s">
        <v>31</v>
      </c>
      <c r="H763" s="2" t="s">
        <v>32</v>
      </c>
      <c r="K763" s="2" t="s">
        <v>6952</v>
      </c>
      <c r="L763" s="3" t="s">
        <v>6953</v>
      </c>
      <c r="M763" s="2" t="s">
        <v>6954</v>
      </c>
      <c r="O763" s="2" t="s">
        <v>49</v>
      </c>
      <c r="P763" s="2" t="s">
        <v>37</v>
      </c>
      <c r="T763" s="2" t="s">
        <v>5567</v>
      </c>
      <c r="X763" s="2" t="n">
        <v>10641</v>
      </c>
      <c r="Y763" s="2" t="s">
        <v>678</v>
      </c>
      <c r="Z763" s="3" t="s">
        <v>6955</v>
      </c>
    </row>
    <row r="764" customFormat="false" ht="13.8" hidden="false" customHeight="false" outlineLevel="0" collapsed="false">
      <c r="A764" s="0" t="str">
        <f aca="false">CONCATENATE("__import__.res_partner_",C764)</f>
        <v>__import__.res_partner_20000010645</v>
      </c>
      <c r="B764" s="2" t="s">
        <v>6956</v>
      </c>
      <c r="C764" s="3" t="s">
        <v>6957</v>
      </c>
      <c r="D764" s="2" t="s">
        <v>6958</v>
      </c>
      <c r="F764" s="2" t="s">
        <v>30</v>
      </c>
      <c r="G764" s="2" t="s">
        <v>1664</v>
      </c>
      <c r="H764" s="2" t="s">
        <v>32</v>
      </c>
      <c r="K764" s="2" t="s">
        <v>6959</v>
      </c>
      <c r="L764" s="3" t="s">
        <v>289</v>
      </c>
      <c r="M764" s="2" t="s">
        <v>6960</v>
      </c>
      <c r="O764" s="2" t="s">
        <v>49</v>
      </c>
      <c r="P764" s="2" t="s">
        <v>37</v>
      </c>
      <c r="R764" s="2" t="s">
        <v>6961</v>
      </c>
      <c r="T764" s="2" t="s">
        <v>108</v>
      </c>
      <c r="X764" s="2" t="n">
        <v>10645</v>
      </c>
      <c r="Y764" s="2" t="s">
        <v>6962</v>
      </c>
      <c r="Z764" s="3" t="s">
        <v>6963</v>
      </c>
      <c r="AA764" s="2" t="s">
        <v>6964</v>
      </c>
    </row>
    <row r="765" customFormat="false" ht="13.8" hidden="false" customHeight="false" outlineLevel="0" collapsed="false">
      <c r="A765" s="0" t="str">
        <f aca="false">CONCATENATE("__import__.res_partner_",C765)</f>
        <v>__import__.res_partner_20000010646</v>
      </c>
      <c r="B765" s="2" t="s">
        <v>6965</v>
      </c>
      <c r="C765" s="3" t="s">
        <v>6966</v>
      </c>
      <c r="D765" s="2" t="s">
        <v>6967</v>
      </c>
      <c r="F765" s="2" t="s">
        <v>30</v>
      </c>
      <c r="G765" s="2" t="s">
        <v>31</v>
      </c>
      <c r="H765" s="2" t="s">
        <v>32</v>
      </c>
      <c r="K765" s="2" t="s">
        <v>6968</v>
      </c>
      <c r="L765" s="2" t="s">
        <v>6969</v>
      </c>
      <c r="M765" s="2" t="s">
        <v>6970</v>
      </c>
      <c r="O765" s="2" t="s">
        <v>674</v>
      </c>
      <c r="P765" s="2" t="s">
        <v>675</v>
      </c>
      <c r="Q765" s="2" t="s">
        <v>6971</v>
      </c>
      <c r="R765" s="3" t="s">
        <v>6972</v>
      </c>
      <c r="T765" s="2" t="s">
        <v>697</v>
      </c>
      <c r="W765" s="2" t="s">
        <v>6973</v>
      </c>
      <c r="X765" s="2" t="n">
        <v>10646</v>
      </c>
      <c r="Y765" s="2" t="s">
        <v>6974</v>
      </c>
      <c r="Z765" s="3" t="s">
        <v>6975</v>
      </c>
    </row>
    <row r="766" customFormat="false" ht="13.8" hidden="false" customHeight="false" outlineLevel="0" collapsed="false">
      <c r="A766" s="0" t="str">
        <f aca="false">CONCATENATE("__import__.res_partner_",C766)</f>
        <v>__import__.res_partner_20000010647</v>
      </c>
      <c r="B766" s="2" t="s">
        <v>6976</v>
      </c>
      <c r="C766" s="3" t="s">
        <v>6977</v>
      </c>
      <c r="D766" s="2" t="s">
        <v>6978</v>
      </c>
      <c r="F766" s="3" t="s">
        <v>557</v>
      </c>
      <c r="G766" s="2" t="s">
        <v>1664</v>
      </c>
      <c r="H766" s="2" t="s">
        <v>32</v>
      </c>
      <c r="K766" s="2" t="s">
        <v>6979</v>
      </c>
      <c r="L766" s="3" t="s">
        <v>6980</v>
      </c>
      <c r="M766" s="2" t="s">
        <v>6981</v>
      </c>
      <c r="O766" s="2" t="s">
        <v>6982</v>
      </c>
      <c r="P766" s="2" t="s">
        <v>37</v>
      </c>
      <c r="T766" s="2" t="s">
        <v>697</v>
      </c>
      <c r="X766" s="2" t="n">
        <v>10647</v>
      </c>
      <c r="Y766" s="2" t="s">
        <v>678</v>
      </c>
      <c r="Z766" s="3" t="s">
        <v>6983</v>
      </c>
    </row>
    <row r="767" customFormat="false" ht="13.8" hidden="false" customHeight="false" outlineLevel="0" collapsed="false">
      <c r="A767" s="0" t="str">
        <f aca="false">CONCATENATE("__import__.res_partner_",C767)</f>
        <v>__import__.res_partner_20000010648</v>
      </c>
      <c r="B767" s="2" t="s">
        <v>6984</v>
      </c>
      <c r="C767" s="3" t="s">
        <v>6985</v>
      </c>
      <c r="D767" s="2" t="s">
        <v>6986</v>
      </c>
      <c r="F767" s="2" t="s">
        <v>30</v>
      </c>
      <c r="G767" s="2" t="s">
        <v>31</v>
      </c>
      <c r="H767" s="2" t="s">
        <v>32</v>
      </c>
      <c r="K767" s="2" t="s">
        <v>6987</v>
      </c>
      <c r="L767" s="3" t="s">
        <v>2890</v>
      </c>
      <c r="M767" s="2" t="s">
        <v>6988</v>
      </c>
      <c r="O767" s="2" t="s">
        <v>2754</v>
      </c>
      <c r="P767" s="2" t="s">
        <v>37</v>
      </c>
      <c r="R767" s="2" t="s">
        <v>6989</v>
      </c>
      <c r="T767" s="2" t="s">
        <v>97</v>
      </c>
      <c r="X767" s="2" t="n">
        <v>10648</v>
      </c>
      <c r="Y767" s="2" t="s">
        <v>6990</v>
      </c>
      <c r="Z767" s="3" t="s">
        <v>6991</v>
      </c>
    </row>
    <row r="768" customFormat="false" ht="13.8" hidden="false" customHeight="false" outlineLevel="0" collapsed="false">
      <c r="A768" s="0" t="str">
        <f aca="false">CONCATENATE("__import__.res_partner_",C768)</f>
        <v>__import__.res_partner_20000010649</v>
      </c>
      <c r="B768" s="2" t="s">
        <v>6992</v>
      </c>
      <c r="C768" s="3" t="s">
        <v>6993</v>
      </c>
      <c r="D768" s="2" t="s">
        <v>6994</v>
      </c>
      <c r="F768" s="2" t="s">
        <v>30</v>
      </c>
      <c r="G768" s="2" t="s">
        <v>31</v>
      </c>
      <c r="H768" s="2" t="s">
        <v>32</v>
      </c>
      <c r="K768" s="2" t="s">
        <v>6995</v>
      </c>
      <c r="L768" s="3" t="s">
        <v>6996</v>
      </c>
      <c r="M768" s="2" t="s">
        <v>6997</v>
      </c>
      <c r="O768" s="2" t="s">
        <v>6998</v>
      </c>
      <c r="P768" s="2" t="s">
        <v>37</v>
      </c>
      <c r="Q768" s="2" t="s">
        <v>6999</v>
      </c>
      <c r="R768" s="3" t="s">
        <v>7000</v>
      </c>
      <c r="T768" s="2" t="s">
        <v>697</v>
      </c>
      <c r="X768" s="2" t="n">
        <v>10649</v>
      </c>
      <c r="Y768" s="2" t="s">
        <v>6994</v>
      </c>
      <c r="Z768" s="3" t="s">
        <v>7001</v>
      </c>
      <c r="AA768" s="2" t="s">
        <v>7002</v>
      </c>
    </row>
    <row r="769" customFormat="false" ht="13.8" hidden="false" customHeight="false" outlineLevel="0" collapsed="false">
      <c r="A769" s="0" t="str">
        <f aca="false">CONCATENATE("__import__.res_partner_",C769)</f>
        <v>__import__.res_partner_20000010650</v>
      </c>
      <c r="B769" s="2" t="s">
        <v>7003</v>
      </c>
      <c r="C769" s="3" t="s">
        <v>7004</v>
      </c>
      <c r="D769" s="2" t="s">
        <v>7005</v>
      </c>
      <c r="F769" s="2" t="s">
        <v>30</v>
      </c>
      <c r="G769" s="2" t="s">
        <v>31</v>
      </c>
      <c r="H769" s="2" t="s">
        <v>32</v>
      </c>
      <c r="K769" s="2" t="s">
        <v>7006</v>
      </c>
      <c r="L769" s="3" t="s">
        <v>6475</v>
      </c>
      <c r="M769" s="2" t="s">
        <v>7007</v>
      </c>
      <c r="O769" s="2" t="s">
        <v>7008</v>
      </c>
      <c r="P769" s="2" t="s">
        <v>37</v>
      </c>
      <c r="R769" s="2" t="s">
        <v>7009</v>
      </c>
      <c r="T769" s="2" t="s">
        <v>76</v>
      </c>
      <c r="X769" s="2" t="n">
        <v>10650</v>
      </c>
      <c r="Y769" s="2" t="s">
        <v>7010</v>
      </c>
      <c r="Z769" s="3" t="s">
        <v>7011</v>
      </c>
    </row>
    <row r="770" customFormat="false" ht="13.8" hidden="false" customHeight="false" outlineLevel="0" collapsed="false">
      <c r="A770" s="0" t="str">
        <f aca="false">CONCATENATE("__import__.res_partner_",C770)</f>
        <v>__import__.res_partner_20000010651</v>
      </c>
      <c r="B770" s="2" t="s">
        <v>7012</v>
      </c>
      <c r="C770" s="3" t="s">
        <v>7013</v>
      </c>
      <c r="D770" s="2" t="s">
        <v>7014</v>
      </c>
      <c r="F770" s="2" t="s">
        <v>30</v>
      </c>
      <c r="G770" s="2" t="s">
        <v>31</v>
      </c>
      <c r="H770" s="2" t="s">
        <v>32</v>
      </c>
      <c r="K770" s="2" t="s">
        <v>7015</v>
      </c>
      <c r="L770" s="3" t="s">
        <v>4203</v>
      </c>
      <c r="M770" s="2" t="s">
        <v>7016</v>
      </c>
      <c r="O770" s="2" t="s">
        <v>2754</v>
      </c>
      <c r="P770" s="2" t="s">
        <v>37</v>
      </c>
      <c r="Q770" s="2" t="s">
        <v>7017</v>
      </c>
      <c r="T770" s="2" t="s">
        <v>697</v>
      </c>
      <c r="X770" s="2" t="n">
        <v>10651</v>
      </c>
      <c r="Y770" s="2" t="s">
        <v>7014</v>
      </c>
      <c r="Z770" s="3" t="s">
        <v>7018</v>
      </c>
    </row>
    <row r="771" customFormat="false" ht="13.8" hidden="false" customHeight="false" outlineLevel="0" collapsed="false">
      <c r="A771" s="0" t="str">
        <f aca="false">CONCATENATE("__import__.res_partner_",C771)</f>
        <v>__import__.res_partner_20000010652</v>
      </c>
      <c r="B771" s="2" t="s">
        <v>7019</v>
      </c>
      <c r="C771" s="3" t="s">
        <v>7020</v>
      </c>
      <c r="D771" s="2" t="s">
        <v>7021</v>
      </c>
      <c r="F771" s="2" t="s">
        <v>30</v>
      </c>
      <c r="G771" s="2" t="s">
        <v>31</v>
      </c>
      <c r="H771" s="2" t="s">
        <v>32</v>
      </c>
      <c r="K771" s="2" t="s">
        <v>7022</v>
      </c>
      <c r="L771" s="3" t="s">
        <v>7023</v>
      </c>
      <c r="M771" s="2" t="s">
        <v>7024</v>
      </c>
      <c r="O771" s="2" t="s">
        <v>7025</v>
      </c>
      <c r="P771" s="2" t="s">
        <v>37</v>
      </c>
      <c r="Q771" s="2" t="s">
        <v>7026</v>
      </c>
      <c r="R771" s="3" t="s">
        <v>7027</v>
      </c>
      <c r="T771" s="2" t="s">
        <v>697</v>
      </c>
      <c r="X771" s="2" t="n">
        <v>10652</v>
      </c>
      <c r="Y771" s="2" t="s">
        <v>7028</v>
      </c>
      <c r="Z771" s="3" t="s">
        <v>7029</v>
      </c>
    </row>
    <row r="772" customFormat="false" ht="13.8" hidden="false" customHeight="false" outlineLevel="0" collapsed="false">
      <c r="A772" s="0" t="str">
        <f aca="false">CONCATENATE("__import__.res_partner_",C772)</f>
        <v>__import__.res_partner_20000010653</v>
      </c>
      <c r="B772" s="2" t="s">
        <v>7030</v>
      </c>
      <c r="C772" s="3" t="s">
        <v>7031</v>
      </c>
      <c r="D772" s="2" t="s">
        <v>7032</v>
      </c>
      <c r="F772" s="2" t="s">
        <v>30</v>
      </c>
      <c r="G772" s="2" t="s">
        <v>31</v>
      </c>
      <c r="H772" s="2" t="s">
        <v>32</v>
      </c>
      <c r="K772" s="2" t="s">
        <v>7033</v>
      </c>
      <c r="L772" s="2" t="s">
        <v>7034</v>
      </c>
      <c r="M772" s="2" t="s">
        <v>7035</v>
      </c>
      <c r="O772" s="2" t="s">
        <v>7036</v>
      </c>
      <c r="P772" s="2" t="s">
        <v>37</v>
      </c>
      <c r="Q772" s="2" t="s">
        <v>7037</v>
      </c>
      <c r="R772" s="3" t="s">
        <v>7038</v>
      </c>
      <c r="T772" s="2" t="s">
        <v>40</v>
      </c>
      <c r="X772" s="2" t="n">
        <v>10653</v>
      </c>
      <c r="Y772" s="2" t="s">
        <v>7039</v>
      </c>
      <c r="Z772" s="3" t="s">
        <v>7040</v>
      </c>
      <c r="AA772" s="2" t="s">
        <v>7041</v>
      </c>
    </row>
    <row r="773" customFormat="false" ht="13.8" hidden="false" customHeight="false" outlineLevel="0" collapsed="false">
      <c r="A773" s="0" t="str">
        <f aca="false">CONCATENATE("__import__.res_partner_",C773)</f>
        <v>__import__.res_partner_20000010655</v>
      </c>
      <c r="B773" s="2" t="s">
        <v>7042</v>
      </c>
      <c r="C773" s="3" t="s">
        <v>7043</v>
      </c>
      <c r="D773" s="2" t="s">
        <v>7044</v>
      </c>
      <c r="F773" s="2" t="s">
        <v>30</v>
      </c>
      <c r="G773" s="2" t="s">
        <v>31</v>
      </c>
      <c r="H773" s="2" t="s">
        <v>32</v>
      </c>
      <c r="K773" s="2" t="s">
        <v>7045</v>
      </c>
      <c r="L773" s="3" t="s">
        <v>2763</v>
      </c>
      <c r="M773" s="2" t="s">
        <v>7046</v>
      </c>
      <c r="O773" s="2" t="s">
        <v>7047</v>
      </c>
      <c r="P773" s="2" t="s">
        <v>37</v>
      </c>
      <c r="R773" s="2" t="s">
        <v>7048</v>
      </c>
      <c r="T773" s="2" t="s">
        <v>76</v>
      </c>
      <c r="X773" s="2" t="n">
        <v>10655</v>
      </c>
      <c r="Y773" s="2" t="s">
        <v>7049</v>
      </c>
      <c r="Z773" s="3" t="s">
        <v>7050</v>
      </c>
    </row>
    <row r="774" customFormat="false" ht="13.8" hidden="false" customHeight="false" outlineLevel="0" collapsed="false">
      <c r="A774" s="0" t="str">
        <f aca="false">CONCATENATE("__import__.res_partner_",C774)</f>
        <v>__import__.res_partner_20000010656</v>
      </c>
      <c r="B774" s="2" t="s">
        <v>7051</v>
      </c>
      <c r="C774" s="3" t="s">
        <v>7052</v>
      </c>
      <c r="D774" s="2" t="s">
        <v>7053</v>
      </c>
      <c r="F774" s="2" t="s">
        <v>30</v>
      </c>
      <c r="G774" s="2" t="s">
        <v>31</v>
      </c>
      <c r="H774" s="2" t="s">
        <v>32</v>
      </c>
      <c r="K774" s="2" t="s">
        <v>7054</v>
      </c>
      <c r="L774" s="3" t="s">
        <v>2771</v>
      </c>
      <c r="M774" s="2" t="s">
        <v>7055</v>
      </c>
      <c r="O774" s="2" t="s">
        <v>2754</v>
      </c>
      <c r="P774" s="2" t="s">
        <v>37</v>
      </c>
      <c r="R774" s="2" t="s">
        <v>7056</v>
      </c>
      <c r="T774" s="2" t="s">
        <v>97</v>
      </c>
      <c r="X774" s="2" t="n">
        <v>10656</v>
      </c>
      <c r="Y774" s="2" t="s">
        <v>7057</v>
      </c>
      <c r="Z774" s="3" t="s">
        <v>7058</v>
      </c>
    </row>
    <row r="775" customFormat="false" ht="13.8" hidden="false" customHeight="false" outlineLevel="0" collapsed="false">
      <c r="A775" s="0" t="str">
        <f aca="false">CONCATENATE("__import__.res_partner_",C775)</f>
        <v>__import__.res_partner_20000010657</v>
      </c>
      <c r="B775" s="2" t="s">
        <v>7059</v>
      </c>
      <c r="C775" s="3" t="s">
        <v>7060</v>
      </c>
      <c r="D775" s="2" t="s">
        <v>7061</v>
      </c>
      <c r="F775" s="2" t="s">
        <v>30</v>
      </c>
      <c r="G775" s="2" t="s">
        <v>31</v>
      </c>
      <c r="H775" s="2" t="s">
        <v>32</v>
      </c>
      <c r="K775" s="2" t="s">
        <v>7062</v>
      </c>
      <c r="L775" s="3" t="s">
        <v>269</v>
      </c>
      <c r="M775" s="2" t="s">
        <v>7063</v>
      </c>
      <c r="O775" s="2" t="s">
        <v>49</v>
      </c>
      <c r="P775" s="2" t="s">
        <v>37</v>
      </c>
      <c r="T775" s="2" t="s">
        <v>697</v>
      </c>
      <c r="X775" s="2" t="n">
        <v>10657</v>
      </c>
      <c r="Y775" s="2" t="s">
        <v>7064</v>
      </c>
      <c r="Z775" s="3" t="s">
        <v>7065</v>
      </c>
    </row>
    <row r="776" customFormat="false" ht="13.8" hidden="false" customHeight="false" outlineLevel="0" collapsed="false">
      <c r="A776" s="0" t="str">
        <f aca="false">CONCATENATE("__import__.res_partner_",C776)</f>
        <v>__import__.res_partner_20000010658</v>
      </c>
      <c r="B776" s="2" t="s">
        <v>7066</v>
      </c>
      <c r="C776" s="3" t="s">
        <v>7067</v>
      </c>
      <c r="D776" s="2" t="s">
        <v>7068</v>
      </c>
      <c r="F776" s="2" t="s">
        <v>30</v>
      </c>
      <c r="G776" s="2" t="s">
        <v>31</v>
      </c>
      <c r="H776" s="2" t="s">
        <v>32</v>
      </c>
      <c r="K776" s="2" t="s">
        <v>7069</v>
      </c>
      <c r="L776" s="2" t="s">
        <v>7070</v>
      </c>
      <c r="M776" s="2" t="s">
        <v>7071</v>
      </c>
      <c r="O776" s="2" t="s">
        <v>7072</v>
      </c>
      <c r="P776" s="2" t="s">
        <v>675</v>
      </c>
      <c r="Q776" s="2" t="s">
        <v>7073</v>
      </c>
      <c r="R776" s="2" t="s">
        <v>7074</v>
      </c>
      <c r="T776" s="2" t="s">
        <v>40</v>
      </c>
      <c r="X776" s="2" t="n">
        <v>10658</v>
      </c>
      <c r="Y776" s="2" t="s">
        <v>7075</v>
      </c>
      <c r="Z776" s="3" t="s">
        <v>7076</v>
      </c>
    </row>
    <row r="777" customFormat="false" ht="13.8" hidden="false" customHeight="false" outlineLevel="0" collapsed="false">
      <c r="A777" s="0" t="str">
        <f aca="false">CONCATENATE("__import__.res_partner_",C777)</f>
        <v>__import__.res_partner_20000010659</v>
      </c>
      <c r="B777" s="2" t="s">
        <v>7077</v>
      </c>
      <c r="C777" s="3" t="s">
        <v>7078</v>
      </c>
      <c r="D777" s="2" t="s">
        <v>7079</v>
      </c>
      <c r="F777" s="2" t="s">
        <v>30</v>
      </c>
      <c r="G777" s="2" t="s">
        <v>1664</v>
      </c>
      <c r="H777" s="2" t="s">
        <v>32</v>
      </c>
      <c r="K777" s="2" t="s">
        <v>7080</v>
      </c>
      <c r="L777" s="3" t="s">
        <v>4000</v>
      </c>
      <c r="M777" s="2" t="s">
        <v>7081</v>
      </c>
      <c r="O777" s="2" t="s">
        <v>4002</v>
      </c>
      <c r="P777" s="2" t="s">
        <v>37</v>
      </c>
      <c r="T777" s="2" t="s">
        <v>108</v>
      </c>
      <c r="X777" s="2" t="n">
        <v>10659</v>
      </c>
      <c r="Y777" s="2" t="s">
        <v>7082</v>
      </c>
      <c r="Z777" s="3" t="s">
        <v>7083</v>
      </c>
    </row>
    <row r="778" customFormat="false" ht="13.8" hidden="false" customHeight="false" outlineLevel="0" collapsed="false">
      <c r="A778" s="0" t="str">
        <f aca="false">CONCATENATE("__import__.res_partner_",C778)</f>
        <v>__import__.res_partner_20000010660</v>
      </c>
      <c r="B778" s="2" t="s">
        <v>7084</v>
      </c>
      <c r="C778" s="3" t="s">
        <v>7085</v>
      </c>
      <c r="D778" s="2" t="s">
        <v>7086</v>
      </c>
      <c r="F778" s="2" t="s">
        <v>30</v>
      </c>
      <c r="G778" s="2" t="s">
        <v>31</v>
      </c>
      <c r="H778" s="2" t="s">
        <v>32</v>
      </c>
      <c r="K778" s="2" t="s">
        <v>7087</v>
      </c>
      <c r="L778" s="3" t="s">
        <v>5609</v>
      </c>
      <c r="M778" s="2" t="s">
        <v>7088</v>
      </c>
      <c r="O778" s="2" t="s">
        <v>4994</v>
      </c>
      <c r="P778" s="2" t="s">
        <v>37</v>
      </c>
      <c r="R778" s="2" t="s">
        <v>7089</v>
      </c>
      <c r="T778" s="2" t="s">
        <v>76</v>
      </c>
      <c r="X778" s="2" t="n">
        <v>10660</v>
      </c>
      <c r="Y778" s="2" t="s">
        <v>678</v>
      </c>
      <c r="Z778" s="3" t="s">
        <v>7090</v>
      </c>
    </row>
    <row r="779" customFormat="false" ht="13.8" hidden="false" customHeight="false" outlineLevel="0" collapsed="false">
      <c r="A779" s="0" t="str">
        <f aca="false">CONCATENATE("__import__.res_partner_",C779)</f>
        <v>__import__.res_partner_20000010661</v>
      </c>
      <c r="B779" s="2" t="s">
        <v>7091</v>
      </c>
      <c r="C779" s="3" t="s">
        <v>7092</v>
      </c>
      <c r="D779" s="2" t="s">
        <v>7093</v>
      </c>
      <c r="F779" s="2" t="s">
        <v>30</v>
      </c>
      <c r="G779" s="2" t="s">
        <v>1664</v>
      </c>
      <c r="H779" s="2" t="s">
        <v>32</v>
      </c>
      <c r="K779" s="2" t="s">
        <v>7094</v>
      </c>
      <c r="L779" s="3" t="s">
        <v>4822</v>
      </c>
      <c r="M779" s="2" t="s">
        <v>7095</v>
      </c>
      <c r="O779" s="2" t="s">
        <v>7096</v>
      </c>
      <c r="P779" s="2" t="s">
        <v>37</v>
      </c>
      <c r="R779" s="3" t="s">
        <v>7097</v>
      </c>
      <c r="T779" s="2" t="s">
        <v>108</v>
      </c>
      <c r="X779" s="2" t="n">
        <v>10661</v>
      </c>
      <c r="Y779" s="2" t="s">
        <v>7098</v>
      </c>
      <c r="Z779" s="3" t="s">
        <v>7099</v>
      </c>
    </row>
    <row r="780" customFormat="false" ht="13.8" hidden="false" customHeight="false" outlineLevel="0" collapsed="false">
      <c r="A780" s="0" t="str">
        <f aca="false">CONCATENATE("__import__.res_partner_",C780)</f>
        <v>__import__.res_partner_20000010662</v>
      </c>
      <c r="B780" s="2" t="s">
        <v>7100</v>
      </c>
      <c r="C780" s="3" t="s">
        <v>7101</v>
      </c>
      <c r="D780" s="2" t="s">
        <v>7102</v>
      </c>
      <c r="F780" s="3" t="s">
        <v>557</v>
      </c>
      <c r="G780" s="2" t="s">
        <v>1664</v>
      </c>
      <c r="H780" s="2" t="s">
        <v>32</v>
      </c>
      <c r="K780" s="2" t="s">
        <v>7103</v>
      </c>
      <c r="L780" s="3" t="s">
        <v>3257</v>
      </c>
      <c r="M780" s="2" t="s">
        <v>7104</v>
      </c>
      <c r="O780" s="2" t="s">
        <v>7105</v>
      </c>
      <c r="P780" s="2" t="s">
        <v>37</v>
      </c>
      <c r="R780" s="2" t="s">
        <v>6766</v>
      </c>
      <c r="T780" s="2" t="s">
        <v>76</v>
      </c>
      <c r="X780" s="2" t="n">
        <v>10662</v>
      </c>
      <c r="Y780" s="2" t="s">
        <v>7106</v>
      </c>
      <c r="Z780" s="3" t="s">
        <v>7107</v>
      </c>
    </row>
    <row r="781" customFormat="false" ht="27.75" hidden="false" customHeight="false" outlineLevel="0" collapsed="false">
      <c r="A781" s="0" t="str">
        <f aca="false">CONCATENATE("__import__.res_partner_",C781)</f>
        <v>__import__.res_partner_20000010663</v>
      </c>
      <c r="B781" s="2" t="s">
        <v>7108</v>
      </c>
      <c r="C781" s="3" t="s">
        <v>7109</v>
      </c>
      <c r="D781" s="2" t="s">
        <v>7110</v>
      </c>
      <c r="F781" s="2" t="s">
        <v>30</v>
      </c>
      <c r="G781" s="2" t="s">
        <v>1664</v>
      </c>
      <c r="H781" s="2" t="s">
        <v>32</v>
      </c>
      <c r="K781" s="2" t="s">
        <v>7111</v>
      </c>
      <c r="L781" s="3" t="s">
        <v>4203</v>
      </c>
      <c r="M781" s="2" t="s">
        <v>7112</v>
      </c>
      <c r="O781" s="2" t="s">
        <v>2754</v>
      </c>
      <c r="P781" s="2" t="s">
        <v>37</v>
      </c>
      <c r="Q781" s="2" t="s">
        <v>7113</v>
      </c>
      <c r="R781" s="2" t="s">
        <v>7114</v>
      </c>
      <c r="T781" s="2" t="s">
        <v>108</v>
      </c>
      <c r="X781" s="2" t="n">
        <v>10663</v>
      </c>
      <c r="Y781" s="2" t="s">
        <v>678</v>
      </c>
      <c r="Z781" s="3" t="s">
        <v>7115</v>
      </c>
      <c r="AA781" s="4" t="s">
        <v>7116</v>
      </c>
    </row>
    <row r="782" customFormat="false" ht="13.8" hidden="false" customHeight="false" outlineLevel="0" collapsed="false">
      <c r="A782" s="0" t="str">
        <f aca="false">CONCATENATE("__import__.res_partner_",C782)</f>
        <v>__import__.res_partner_20000010666</v>
      </c>
      <c r="B782" s="2" t="s">
        <v>7117</v>
      </c>
      <c r="C782" s="3" t="s">
        <v>7118</v>
      </c>
      <c r="D782" s="2" t="s">
        <v>7119</v>
      </c>
      <c r="F782" s="2" t="s">
        <v>30</v>
      </c>
      <c r="G782" s="2" t="s">
        <v>31</v>
      </c>
      <c r="H782" s="2" t="s">
        <v>32</v>
      </c>
      <c r="K782" s="2" t="s">
        <v>7120</v>
      </c>
      <c r="L782" s="3" t="s">
        <v>4822</v>
      </c>
      <c r="M782" s="2" t="s">
        <v>7121</v>
      </c>
      <c r="O782" s="2" t="s">
        <v>7096</v>
      </c>
      <c r="P782" s="2" t="s">
        <v>37</v>
      </c>
      <c r="Q782" s="2" t="s">
        <v>7122</v>
      </c>
      <c r="R782" s="2" t="s">
        <v>7123</v>
      </c>
      <c r="T782" s="2" t="s">
        <v>697</v>
      </c>
      <c r="X782" s="2" t="n">
        <v>10666</v>
      </c>
      <c r="Y782" s="2" t="s">
        <v>7124</v>
      </c>
      <c r="Z782" s="3" t="s">
        <v>7125</v>
      </c>
    </row>
    <row r="783" customFormat="false" ht="13.8" hidden="false" customHeight="false" outlineLevel="0" collapsed="false">
      <c r="A783" s="0" t="str">
        <f aca="false">CONCATENATE("__import__.res_partner_",C783)</f>
        <v>__import__.res_partner_20000010667</v>
      </c>
      <c r="B783" s="2" t="s">
        <v>7126</v>
      </c>
      <c r="C783" s="3" t="s">
        <v>7127</v>
      </c>
      <c r="D783" s="2" t="s">
        <v>7128</v>
      </c>
      <c r="F783" s="2" t="s">
        <v>30</v>
      </c>
      <c r="G783" s="2" t="s">
        <v>31</v>
      </c>
      <c r="H783" s="2" t="s">
        <v>32</v>
      </c>
      <c r="K783" s="2" t="s">
        <v>7129</v>
      </c>
      <c r="L783" s="3" t="s">
        <v>7130</v>
      </c>
      <c r="M783" s="2" t="s">
        <v>7131</v>
      </c>
      <c r="O783" s="2" t="s">
        <v>7132</v>
      </c>
      <c r="P783" s="2" t="s">
        <v>37</v>
      </c>
      <c r="R783" s="2" t="s">
        <v>7133</v>
      </c>
      <c r="T783" s="2" t="s">
        <v>697</v>
      </c>
      <c r="X783" s="2" t="n">
        <v>10667</v>
      </c>
      <c r="Y783" s="2" t="s">
        <v>678</v>
      </c>
      <c r="Z783" s="3" t="s">
        <v>7134</v>
      </c>
    </row>
    <row r="784" customFormat="false" ht="13.8" hidden="false" customHeight="false" outlineLevel="0" collapsed="false">
      <c r="A784" s="0" t="str">
        <f aca="false">CONCATENATE("__import__.res_partner_",C784)</f>
        <v>__import__.res_partner_20000010668</v>
      </c>
      <c r="B784" s="2" t="s">
        <v>7135</v>
      </c>
      <c r="C784" s="3" t="s">
        <v>7136</v>
      </c>
      <c r="D784" s="2" t="s">
        <v>7137</v>
      </c>
      <c r="F784" s="2" t="s">
        <v>30</v>
      </c>
      <c r="G784" s="2" t="s">
        <v>31</v>
      </c>
      <c r="H784" s="2" t="s">
        <v>32</v>
      </c>
      <c r="K784" s="2" t="s">
        <v>7138</v>
      </c>
      <c r="L784" s="3" t="s">
        <v>4609</v>
      </c>
      <c r="M784" s="2" t="s">
        <v>7139</v>
      </c>
      <c r="O784" s="2" t="s">
        <v>7140</v>
      </c>
      <c r="P784" s="2" t="s">
        <v>37</v>
      </c>
      <c r="R784" s="2" t="s">
        <v>7141</v>
      </c>
      <c r="T784" s="2" t="s">
        <v>1437</v>
      </c>
      <c r="X784" s="2" t="n">
        <v>10668</v>
      </c>
      <c r="Y784" s="2" t="s">
        <v>7142</v>
      </c>
      <c r="Z784" s="3" t="s">
        <v>7143</v>
      </c>
    </row>
    <row r="785" customFormat="false" ht="13.8" hidden="false" customHeight="false" outlineLevel="0" collapsed="false">
      <c r="A785" s="0" t="str">
        <f aca="false">CONCATENATE("__import__.res_partner_",C785)</f>
        <v>__import__.res_partner_20000010669</v>
      </c>
      <c r="B785" s="2" t="s">
        <v>7144</v>
      </c>
      <c r="C785" s="3" t="s">
        <v>7145</v>
      </c>
      <c r="D785" s="2" t="s">
        <v>7146</v>
      </c>
      <c r="F785" s="2" t="s">
        <v>30</v>
      </c>
      <c r="G785" s="2" t="s">
        <v>31</v>
      </c>
      <c r="H785" s="2" t="s">
        <v>32</v>
      </c>
      <c r="K785" s="2" t="s">
        <v>7147</v>
      </c>
      <c r="L785" s="2" t="s">
        <v>7148</v>
      </c>
      <c r="M785" s="2" t="s">
        <v>7149</v>
      </c>
      <c r="O785" s="2" t="s">
        <v>7150</v>
      </c>
      <c r="P785" s="2" t="s">
        <v>675</v>
      </c>
      <c r="Q785" s="2" t="s">
        <v>7151</v>
      </c>
      <c r="R785" s="2" t="s">
        <v>7152</v>
      </c>
      <c r="T785" s="2" t="s">
        <v>697</v>
      </c>
      <c r="X785" s="2" t="n">
        <v>10669</v>
      </c>
      <c r="Y785" s="2" t="s">
        <v>7153</v>
      </c>
      <c r="Z785" s="3" t="s">
        <v>7154</v>
      </c>
    </row>
    <row r="786" customFormat="false" ht="13.8" hidden="false" customHeight="false" outlineLevel="0" collapsed="false">
      <c r="A786" s="0" t="str">
        <f aca="false">CONCATENATE("__import__.res_partner_",C786)</f>
        <v>__import__.res_partner_20000010670</v>
      </c>
      <c r="B786" s="2" t="s">
        <v>7155</v>
      </c>
      <c r="C786" s="3" t="s">
        <v>7156</v>
      </c>
      <c r="D786" s="2" t="s">
        <v>7157</v>
      </c>
      <c r="F786" s="2" t="s">
        <v>30</v>
      </c>
      <c r="G786" s="2" t="s">
        <v>1664</v>
      </c>
      <c r="H786" s="2" t="s">
        <v>32</v>
      </c>
      <c r="K786" s="2" t="s">
        <v>7158</v>
      </c>
      <c r="L786" s="3" t="s">
        <v>4788</v>
      </c>
      <c r="M786" s="2" t="s">
        <v>7159</v>
      </c>
      <c r="O786" s="2" t="s">
        <v>6802</v>
      </c>
      <c r="P786" s="2" t="s">
        <v>37</v>
      </c>
      <c r="R786" s="2" t="s">
        <v>7160</v>
      </c>
      <c r="T786" s="2" t="s">
        <v>697</v>
      </c>
      <c r="X786" s="2" t="n">
        <v>10670</v>
      </c>
      <c r="Y786" s="2" t="s">
        <v>678</v>
      </c>
      <c r="Z786" s="3" t="s">
        <v>7161</v>
      </c>
    </row>
    <row r="787" customFormat="false" ht="13.8" hidden="false" customHeight="false" outlineLevel="0" collapsed="false">
      <c r="A787" s="0" t="str">
        <f aca="false">CONCATENATE("__import__.res_partner_",C787)</f>
        <v>__import__.res_partner_20000010671</v>
      </c>
      <c r="B787" s="2" t="s">
        <v>7162</v>
      </c>
      <c r="C787" s="3" t="s">
        <v>7163</v>
      </c>
      <c r="D787" s="2" t="s">
        <v>7164</v>
      </c>
      <c r="F787" s="2" t="s">
        <v>30</v>
      </c>
      <c r="G787" s="2" t="s">
        <v>1664</v>
      </c>
      <c r="H787" s="2" t="s">
        <v>32</v>
      </c>
      <c r="K787" s="2" t="s">
        <v>7165</v>
      </c>
      <c r="L787" s="3" t="s">
        <v>7166</v>
      </c>
      <c r="M787" s="2" t="s">
        <v>7167</v>
      </c>
      <c r="O787" s="2" t="s">
        <v>7168</v>
      </c>
      <c r="P787" s="2" t="s">
        <v>37</v>
      </c>
      <c r="Q787" s="2" t="s">
        <v>7169</v>
      </c>
      <c r="T787" s="2" t="s">
        <v>697</v>
      </c>
      <c r="X787" s="2" t="n">
        <v>10671</v>
      </c>
      <c r="Y787" s="2" t="s">
        <v>678</v>
      </c>
      <c r="Z787" s="3" t="s">
        <v>7170</v>
      </c>
    </row>
    <row r="788" customFormat="false" ht="13.8" hidden="false" customHeight="false" outlineLevel="0" collapsed="false">
      <c r="A788" s="0" t="str">
        <f aca="false">CONCATENATE("__import__.res_partner_",C788)</f>
        <v>__import__.res_partner_20000010672</v>
      </c>
      <c r="B788" s="2" t="s">
        <v>7171</v>
      </c>
      <c r="C788" s="3" t="s">
        <v>7172</v>
      </c>
      <c r="D788" s="2" t="s">
        <v>7173</v>
      </c>
      <c r="F788" s="3" t="s">
        <v>557</v>
      </c>
      <c r="G788" s="2" t="s">
        <v>31</v>
      </c>
      <c r="H788" s="2" t="s">
        <v>32</v>
      </c>
      <c r="K788" s="2" t="s">
        <v>7174</v>
      </c>
      <c r="L788" s="3" t="s">
        <v>2763</v>
      </c>
      <c r="M788" s="2" t="s">
        <v>7175</v>
      </c>
      <c r="O788" s="2" t="s">
        <v>6712</v>
      </c>
      <c r="P788" s="2" t="s">
        <v>37</v>
      </c>
      <c r="R788" s="2" t="s">
        <v>7176</v>
      </c>
      <c r="T788" s="2" t="s">
        <v>76</v>
      </c>
      <c r="X788" s="2" t="n">
        <v>10672</v>
      </c>
      <c r="Y788" s="2" t="s">
        <v>7177</v>
      </c>
      <c r="Z788" s="3" t="s">
        <v>7178</v>
      </c>
    </row>
    <row r="789" customFormat="false" ht="13.8" hidden="false" customHeight="false" outlineLevel="0" collapsed="false">
      <c r="A789" s="0" t="str">
        <f aca="false">CONCATENATE("__import__.res_partner_",C789)</f>
        <v>__import__.res_partner_20000010673</v>
      </c>
      <c r="B789" s="2" t="s">
        <v>7179</v>
      </c>
      <c r="C789" s="3" t="s">
        <v>7180</v>
      </c>
      <c r="D789" s="2" t="s">
        <v>7181</v>
      </c>
      <c r="F789" s="2" t="s">
        <v>30</v>
      </c>
      <c r="G789" s="2" t="s">
        <v>1664</v>
      </c>
      <c r="H789" s="2" t="s">
        <v>32</v>
      </c>
      <c r="K789" s="2" t="s">
        <v>7182</v>
      </c>
      <c r="L789" s="3" t="s">
        <v>1149</v>
      </c>
      <c r="M789" s="2" t="s">
        <v>7183</v>
      </c>
      <c r="O789" s="2" t="s">
        <v>49</v>
      </c>
      <c r="P789" s="2" t="s">
        <v>37</v>
      </c>
      <c r="T789" s="2" t="s">
        <v>97</v>
      </c>
      <c r="X789" s="2" t="n">
        <v>10673</v>
      </c>
      <c r="Y789" s="2" t="s">
        <v>7184</v>
      </c>
      <c r="Z789" s="3" t="s">
        <v>7185</v>
      </c>
    </row>
    <row r="790" customFormat="false" ht="13.8" hidden="false" customHeight="false" outlineLevel="0" collapsed="false">
      <c r="A790" s="0" t="str">
        <f aca="false">CONCATENATE("__import__.res_partner_",C790)</f>
        <v>__import__.res_partner_20000010674</v>
      </c>
      <c r="B790" s="2" t="s">
        <v>7186</v>
      </c>
      <c r="C790" s="3" t="s">
        <v>7187</v>
      </c>
      <c r="D790" s="2" t="s">
        <v>7188</v>
      </c>
      <c r="F790" s="2" t="s">
        <v>30</v>
      </c>
      <c r="G790" s="2" t="s">
        <v>31</v>
      </c>
      <c r="H790" s="2" t="s">
        <v>32</v>
      </c>
      <c r="K790" s="2" t="s">
        <v>7189</v>
      </c>
      <c r="L790" s="3" t="s">
        <v>2384</v>
      </c>
      <c r="M790" s="2" t="s">
        <v>7190</v>
      </c>
      <c r="O790" s="2" t="s">
        <v>49</v>
      </c>
      <c r="P790" s="2" t="s">
        <v>37</v>
      </c>
      <c r="T790" s="2" t="s">
        <v>97</v>
      </c>
      <c r="X790" s="2" t="n">
        <v>10674</v>
      </c>
      <c r="Y790" s="2" t="s">
        <v>7191</v>
      </c>
      <c r="Z790" s="3" t="s">
        <v>7192</v>
      </c>
    </row>
    <row r="791" customFormat="false" ht="13.8" hidden="false" customHeight="false" outlineLevel="0" collapsed="false">
      <c r="A791" s="0" t="str">
        <f aca="false">CONCATENATE("__import__.res_partner_",C791)</f>
        <v>__import__.res_partner_20000010675</v>
      </c>
      <c r="B791" s="2" t="s">
        <v>7193</v>
      </c>
      <c r="C791" s="3" t="s">
        <v>7194</v>
      </c>
      <c r="D791" s="2" t="s">
        <v>7195</v>
      </c>
      <c r="F791" s="3" t="s">
        <v>557</v>
      </c>
      <c r="G791" s="2" t="s">
        <v>31</v>
      </c>
      <c r="H791" s="2" t="s">
        <v>32</v>
      </c>
      <c r="K791" s="2" t="s">
        <v>7196</v>
      </c>
      <c r="L791" s="3" t="s">
        <v>2763</v>
      </c>
      <c r="M791" s="2" t="s">
        <v>7197</v>
      </c>
      <c r="O791" s="2" t="s">
        <v>3689</v>
      </c>
      <c r="P791" s="2" t="s">
        <v>37</v>
      </c>
      <c r="R791" s="3" t="s">
        <v>7198</v>
      </c>
      <c r="T791" s="2" t="s">
        <v>697</v>
      </c>
      <c r="X791" s="2" t="n">
        <v>10675</v>
      </c>
      <c r="Y791" s="2" t="s">
        <v>7199</v>
      </c>
      <c r="Z791" s="3" t="s">
        <v>7200</v>
      </c>
    </row>
    <row r="792" customFormat="false" ht="13.8" hidden="false" customHeight="false" outlineLevel="0" collapsed="false">
      <c r="A792" s="0" t="str">
        <f aca="false">CONCATENATE("__import__.res_partner_",C792)</f>
        <v>__import__.res_partner_20000010676</v>
      </c>
      <c r="B792" s="2" t="s">
        <v>7201</v>
      </c>
      <c r="C792" s="3" t="s">
        <v>7202</v>
      </c>
      <c r="D792" s="2" t="s">
        <v>7203</v>
      </c>
      <c r="F792" s="2" t="s">
        <v>30</v>
      </c>
      <c r="G792" s="2" t="s">
        <v>31</v>
      </c>
      <c r="H792" s="2" t="s">
        <v>32</v>
      </c>
      <c r="K792" s="2" t="s">
        <v>7204</v>
      </c>
      <c r="L792" s="3" t="s">
        <v>5354</v>
      </c>
      <c r="M792" s="2" t="s">
        <v>7205</v>
      </c>
      <c r="O792" s="2" t="s">
        <v>2709</v>
      </c>
      <c r="P792" s="2" t="s">
        <v>37</v>
      </c>
      <c r="T792" s="2" t="s">
        <v>76</v>
      </c>
      <c r="X792" s="2" t="n">
        <v>10676</v>
      </c>
      <c r="Y792" s="2" t="s">
        <v>7206</v>
      </c>
      <c r="Z792" s="3" t="s">
        <v>7207</v>
      </c>
    </row>
    <row r="793" customFormat="false" ht="13.8" hidden="false" customHeight="false" outlineLevel="0" collapsed="false">
      <c r="A793" s="0" t="str">
        <f aca="false">CONCATENATE("__import__.res_partner_",C793)</f>
        <v>__import__.res_partner_20000010677</v>
      </c>
      <c r="B793" s="2" t="s">
        <v>7208</v>
      </c>
      <c r="C793" s="3" t="s">
        <v>7209</v>
      </c>
      <c r="D793" s="2" t="s">
        <v>7210</v>
      </c>
      <c r="F793" s="2" t="s">
        <v>30</v>
      </c>
      <c r="G793" s="2" t="s">
        <v>31</v>
      </c>
      <c r="H793" s="2" t="s">
        <v>32</v>
      </c>
      <c r="K793" s="2" t="s">
        <v>7211</v>
      </c>
      <c r="L793" s="3" t="s">
        <v>6475</v>
      </c>
      <c r="M793" s="2" t="s">
        <v>7212</v>
      </c>
      <c r="O793" s="2" t="s">
        <v>7213</v>
      </c>
      <c r="P793" s="2" t="s">
        <v>37</v>
      </c>
      <c r="T793" s="2" t="s">
        <v>697</v>
      </c>
      <c r="X793" s="2" t="n">
        <v>10677</v>
      </c>
      <c r="Y793" s="2" t="s">
        <v>7214</v>
      </c>
      <c r="Z793" s="3" t="s">
        <v>7215</v>
      </c>
    </row>
    <row r="794" customFormat="false" ht="13.8" hidden="false" customHeight="false" outlineLevel="0" collapsed="false">
      <c r="A794" s="0" t="str">
        <f aca="false">CONCATENATE("__import__.res_partner_",C794)</f>
        <v>__import__.res_partner_20000010678</v>
      </c>
      <c r="B794" s="2" t="s">
        <v>7216</v>
      </c>
      <c r="C794" s="3" t="s">
        <v>7217</v>
      </c>
      <c r="D794" s="2" t="s">
        <v>7218</v>
      </c>
      <c r="F794" s="2" t="s">
        <v>30</v>
      </c>
      <c r="G794" s="2" t="s">
        <v>31</v>
      </c>
      <c r="H794" s="2" t="s">
        <v>32</v>
      </c>
      <c r="K794" s="2" t="s">
        <v>7219</v>
      </c>
      <c r="L794" s="3" t="s">
        <v>7220</v>
      </c>
      <c r="M794" s="2" t="s">
        <v>7221</v>
      </c>
      <c r="O794" s="2" t="s">
        <v>7222</v>
      </c>
      <c r="P794" s="2" t="s">
        <v>37</v>
      </c>
      <c r="R794" s="2" t="s">
        <v>7223</v>
      </c>
      <c r="T794" s="2" t="s">
        <v>697</v>
      </c>
      <c r="X794" s="2" t="n">
        <v>10678</v>
      </c>
      <c r="Y794" s="2" t="s">
        <v>678</v>
      </c>
      <c r="Z794" s="3" t="s">
        <v>7224</v>
      </c>
    </row>
    <row r="795" customFormat="false" ht="13.8" hidden="false" customHeight="false" outlineLevel="0" collapsed="false">
      <c r="A795" s="0" t="str">
        <f aca="false">CONCATENATE("__import__.res_partner_",C795)</f>
        <v>__import__.res_partner_20000010679</v>
      </c>
      <c r="B795" s="2" t="s">
        <v>7225</v>
      </c>
      <c r="C795" s="3" t="s">
        <v>7226</v>
      </c>
      <c r="D795" s="2" t="s">
        <v>7227</v>
      </c>
      <c r="F795" s="2" t="s">
        <v>30</v>
      </c>
      <c r="G795" s="2" t="s">
        <v>1664</v>
      </c>
      <c r="H795" s="2" t="s">
        <v>32</v>
      </c>
      <c r="K795" s="2" t="s">
        <v>7228</v>
      </c>
      <c r="L795" s="3" t="s">
        <v>7229</v>
      </c>
      <c r="M795" s="2" t="s">
        <v>7230</v>
      </c>
      <c r="O795" s="2" t="s">
        <v>7231</v>
      </c>
      <c r="P795" s="2" t="s">
        <v>37</v>
      </c>
      <c r="R795" s="2" t="s">
        <v>7232</v>
      </c>
      <c r="T795" s="2" t="s">
        <v>76</v>
      </c>
      <c r="X795" s="2" t="n">
        <v>10679</v>
      </c>
      <c r="Y795" s="2" t="s">
        <v>678</v>
      </c>
      <c r="Z795" s="3" t="s">
        <v>7233</v>
      </c>
    </row>
    <row r="796" customFormat="false" ht="13.8" hidden="false" customHeight="false" outlineLevel="0" collapsed="false">
      <c r="A796" s="0" t="str">
        <f aca="false">CONCATENATE("__import__.res_partner_",C796)</f>
        <v>__import__.res_partner_20000010680</v>
      </c>
      <c r="B796" s="2" t="s">
        <v>7234</v>
      </c>
      <c r="C796" s="3" t="s">
        <v>7235</v>
      </c>
      <c r="D796" s="2" t="s">
        <v>7236</v>
      </c>
      <c r="F796" s="2" t="s">
        <v>30</v>
      </c>
      <c r="G796" s="2" t="s">
        <v>1664</v>
      </c>
      <c r="H796" s="2" t="s">
        <v>32</v>
      </c>
      <c r="K796" s="2" t="s">
        <v>7237</v>
      </c>
      <c r="L796" s="3" t="s">
        <v>3257</v>
      </c>
      <c r="M796" s="2" t="s">
        <v>7238</v>
      </c>
      <c r="O796" s="2" t="s">
        <v>2881</v>
      </c>
      <c r="P796" s="2" t="s">
        <v>37</v>
      </c>
      <c r="R796" s="2" t="s">
        <v>7239</v>
      </c>
      <c r="T796" s="2" t="s">
        <v>697</v>
      </c>
      <c r="X796" s="2" t="n">
        <v>10680</v>
      </c>
      <c r="Y796" s="2" t="s">
        <v>7240</v>
      </c>
      <c r="Z796" s="3" t="s">
        <v>7241</v>
      </c>
    </row>
    <row r="797" customFormat="false" ht="13.8" hidden="false" customHeight="false" outlineLevel="0" collapsed="false">
      <c r="A797" s="0" t="str">
        <f aca="false">CONCATENATE("__import__.res_partner_",C797)</f>
        <v>__import__.res_partner_20000010681</v>
      </c>
      <c r="B797" s="2" t="s">
        <v>7242</v>
      </c>
      <c r="C797" s="3" t="s">
        <v>7243</v>
      </c>
      <c r="D797" s="2" t="s">
        <v>7244</v>
      </c>
      <c r="F797" s="3" t="s">
        <v>557</v>
      </c>
      <c r="G797" s="2" t="s">
        <v>31</v>
      </c>
      <c r="H797" s="2" t="s">
        <v>32</v>
      </c>
      <c r="K797" s="2" t="s">
        <v>7245</v>
      </c>
      <c r="L797" s="3" t="s">
        <v>3257</v>
      </c>
      <c r="M797" s="2" t="s">
        <v>7246</v>
      </c>
      <c r="O797" s="2" t="s">
        <v>2881</v>
      </c>
      <c r="P797" s="2" t="s">
        <v>37</v>
      </c>
      <c r="T797" s="2" t="s">
        <v>76</v>
      </c>
      <c r="X797" s="2" t="n">
        <v>10681</v>
      </c>
      <c r="Y797" s="2" t="s">
        <v>7247</v>
      </c>
      <c r="Z797" s="3" t="s">
        <v>7248</v>
      </c>
    </row>
    <row r="798" customFormat="false" ht="13.8" hidden="false" customHeight="false" outlineLevel="0" collapsed="false">
      <c r="A798" s="0" t="str">
        <f aca="false">CONCATENATE("__import__.res_partner_",C798)</f>
        <v>__import__.res_partner_20000010682</v>
      </c>
      <c r="B798" s="2" t="s">
        <v>7249</v>
      </c>
      <c r="C798" s="3" t="s">
        <v>7250</v>
      </c>
      <c r="D798" s="2" t="s">
        <v>7251</v>
      </c>
      <c r="F798" s="2" t="s">
        <v>30</v>
      </c>
      <c r="G798" s="2" t="s">
        <v>31</v>
      </c>
      <c r="H798" s="2" t="s">
        <v>32</v>
      </c>
      <c r="K798" s="2" t="s">
        <v>7252</v>
      </c>
      <c r="L798" s="3" t="s">
        <v>133</v>
      </c>
      <c r="M798" s="2" t="s">
        <v>7253</v>
      </c>
      <c r="O798" s="2" t="s">
        <v>135</v>
      </c>
      <c r="P798" s="2" t="s">
        <v>37</v>
      </c>
      <c r="Q798" s="2" t="s">
        <v>7254</v>
      </c>
      <c r="R798" s="2" t="s">
        <v>7255</v>
      </c>
      <c r="T798" s="2" t="s">
        <v>64</v>
      </c>
      <c r="X798" s="2" t="n">
        <v>10682</v>
      </c>
      <c r="Y798" s="2" t="s">
        <v>7256</v>
      </c>
      <c r="Z798" s="3" t="s">
        <v>7257</v>
      </c>
    </row>
    <row r="799" customFormat="false" ht="13.8" hidden="false" customHeight="false" outlineLevel="0" collapsed="false">
      <c r="A799" s="0" t="str">
        <f aca="false">CONCATENATE("__import__.res_partner_",C799)</f>
        <v>__import__.res_partner_20000010683</v>
      </c>
      <c r="B799" s="2" t="s">
        <v>7258</v>
      </c>
      <c r="C799" s="3" t="s">
        <v>7259</v>
      </c>
      <c r="D799" s="2" t="s">
        <v>7260</v>
      </c>
      <c r="F799" s="2" t="s">
        <v>30</v>
      </c>
      <c r="G799" s="2" t="s">
        <v>31</v>
      </c>
      <c r="H799" s="2" t="s">
        <v>32</v>
      </c>
      <c r="K799" s="2" t="s">
        <v>7261</v>
      </c>
      <c r="L799" s="3" t="s">
        <v>7262</v>
      </c>
      <c r="M799" s="2" t="s">
        <v>7263</v>
      </c>
      <c r="O799" s="2" t="s">
        <v>7264</v>
      </c>
      <c r="P799" s="2" t="s">
        <v>37</v>
      </c>
      <c r="Q799" s="2" t="s">
        <v>7254</v>
      </c>
      <c r="R799" s="3" t="s">
        <v>7265</v>
      </c>
      <c r="T799" s="2" t="s">
        <v>64</v>
      </c>
      <c r="X799" s="2" t="n">
        <v>10683</v>
      </c>
      <c r="Y799" s="2" t="s">
        <v>7266</v>
      </c>
      <c r="Z799" s="3" t="s">
        <v>7267</v>
      </c>
    </row>
    <row r="800" customFormat="false" ht="27.6" hidden="false" customHeight="false" outlineLevel="0" collapsed="false">
      <c r="A800" s="0" t="str">
        <f aca="false">CONCATENATE("__import__.res_partner_",C800)</f>
        <v>__import__.res_partner_20000010684</v>
      </c>
      <c r="B800" s="2" t="s">
        <v>7268</v>
      </c>
      <c r="C800" s="3" t="s">
        <v>7269</v>
      </c>
      <c r="D800" s="2" t="s">
        <v>7270</v>
      </c>
      <c r="F800" s="2" t="s">
        <v>30</v>
      </c>
      <c r="G800" s="2" t="s">
        <v>31</v>
      </c>
      <c r="H800" s="2" t="s">
        <v>32</v>
      </c>
      <c r="K800" s="2" t="s">
        <v>7271</v>
      </c>
      <c r="M800" s="2" t="s">
        <v>7272</v>
      </c>
      <c r="O800" s="2" t="s">
        <v>7273</v>
      </c>
      <c r="P800" s="2" t="s">
        <v>37</v>
      </c>
      <c r="Q800" s="2" t="s">
        <v>7274</v>
      </c>
      <c r="T800" s="2" t="s">
        <v>97</v>
      </c>
      <c r="X800" s="2" t="n">
        <v>10684</v>
      </c>
      <c r="Y800" s="2" t="s">
        <v>7275</v>
      </c>
      <c r="Z800" s="3" t="s">
        <v>7276</v>
      </c>
      <c r="AA800" s="4" t="s">
        <v>7277</v>
      </c>
    </row>
    <row r="801" customFormat="false" ht="27.6" hidden="false" customHeight="false" outlineLevel="0" collapsed="false">
      <c r="A801" s="0" t="str">
        <f aca="false">CONCATENATE("__import__.res_partner_",C801)</f>
        <v>__import__.res_partner_20000010685</v>
      </c>
      <c r="B801" s="2" t="s">
        <v>7278</v>
      </c>
      <c r="C801" s="3" t="s">
        <v>7279</v>
      </c>
      <c r="D801" s="2" t="s">
        <v>7280</v>
      </c>
      <c r="F801" s="2" t="s">
        <v>30</v>
      </c>
      <c r="G801" s="2" t="s">
        <v>31</v>
      </c>
      <c r="H801" s="2" t="s">
        <v>32</v>
      </c>
      <c r="K801" s="2" t="s">
        <v>7281</v>
      </c>
      <c r="L801" s="3" t="s">
        <v>1149</v>
      </c>
      <c r="M801" s="2" t="s">
        <v>7282</v>
      </c>
      <c r="O801" s="2" t="s">
        <v>1151</v>
      </c>
      <c r="P801" s="2" t="s">
        <v>37</v>
      </c>
      <c r="T801" s="2" t="s">
        <v>97</v>
      </c>
      <c r="X801" s="2" t="n">
        <v>10685</v>
      </c>
      <c r="Y801" s="2" t="s">
        <v>678</v>
      </c>
      <c r="Z801" s="3" t="s">
        <v>7283</v>
      </c>
      <c r="AA801" s="4" t="s">
        <v>7284</v>
      </c>
    </row>
    <row r="802" customFormat="false" ht="13.8" hidden="false" customHeight="false" outlineLevel="0" collapsed="false">
      <c r="A802" s="0" t="str">
        <f aca="false">CONCATENATE("__import__.res_partner_",C802)</f>
        <v>__import__.res_partner_20000010689</v>
      </c>
      <c r="B802" s="2" t="s">
        <v>7285</v>
      </c>
      <c r="C802" s="3" t="s">
        <v>7286</v>
      </c>
      <c r="D802" s="2" t="s">
        <v>7287</v>
      </c>
      <c r="F802" s="2" t="s">
        <v>30</v>
      </c>
      <c r="G802" s="2" t="s">
        <v>31</v>
      </c>
      <c r="H802" s="2" t="s">
        <v>32</v>
      </c>
      <c r="K802" s="2" t="s">
        <v>7288</v>
      </c>
      <c r="L802" s="3" t="s">
        <v>7289</v>
      </c>
      <c r="M802" s="2" t="s">
        <v>7290</v>
      </c>
      <c r="O802" s="2" t="s">
        <v>7291</v>
      </c>
      <c r="P802" s="2" t="s">
        <v>2404</v>
      </c>
      <c r="T802" s="2" t="s">
        <v>108</v>
      </c>
      <c r="X802" s="2" t="n">
        <v>10689</v>
      </c>
      <c r="Y802" s="2" t="s">
        <v>7292</v>
      </c>
      <c r="Z802" s="3" t="s">
        <v>7293</v>
      </c>
    </row>
    <row r="803" customFormat="false" ht="13.8" hidden="false" customHeight="false" outlineLevel="0" collapsed="false">
      <c r="A803" s="0" t="str">
        <f aca="false">CONCATENATE("__import__.res_partner_",C803)</f>
        <v>__import__.res_partner_20000010690</v>
      </c>
      <c r="B803" s="2" t="s">
        <v>7294</v>
      </c>
      <c r="C803" s="3" t="s">
        <v>7295</v>
      </c>
      <c r="D803" s="2" t="s">
        <v>7296</v>
      </c>
      <c r="F803" s="2" t="s">
        <v>30</v>
      </c>
      <c r="G803" s="2" t="s">
        <v>31</v>
      </c>
      <c r="H803" s="2" t="s">
        <v>32</v>
      </c>
      <c r="K803" s="2" t="s">
        <v>7297</v>
      </c>
      <c r="L803" s="3" t="s">
        <v>1204</v>
      </c>
      <c r="M803" s="2" t="s">
        <v>7298</v>
      </c>
      <c r="O803" s="2" t="s">
        <v>1206</v>
      </c>
      <c r="P803" s="2" t="s">
        <v>37</v>
      </c>
      <c r="R803" s="2" t="s">
        <v>7299</v>
      </c>
      <c r="T803" s="2" t="s">
        <v>97</v>
      </c>
      <c r="X803" s="2" t="n">
        <v>10690</v>
      </c>
      <c r="Y803" s="2" t="s">
        <v>678</v>
      </c>
      <c r="Z803" s="3" t="s">
        <v>7300</v>
      </c>
    </row>
    <row r="804" customFormat="false" ht="13.8" hidden="false" customHeight="false" outlineLevel="0" collapsed="false">
      <c r="A804" s="0" t="str">
        <f aca="false">CONCATENATE("__import__.res_partner_",C804)</f>
        <v>__import__.res_partner_20000010691</v>
      </c>
      <c r="B804" s="2" t="s">
        <v>7301</v>
      </c>
      <c r="C804" s="3" t="s">
        <v>7302</v>
      </c>
      <c r="D804" s="2" t="s">
        <v>7303</v>
      </c>
      <c r="F804" s="3" t="s">
        <v>557</v>
      </c>
      <c r="G804" s="2" t="s">
        <v>31</v>
      </c>
      <c r="H804" s="2" t="s">
        <v>32</v>
      </c>
      <c r="K804" s="2" t="s">
        <v>7304</v>
      </c>
      <c r="L804" s="3" t="s">
        <v>1977</v>
      </c>
      <c r="M804" s="2" t="s">
        <v>7305</v>
      </c>
      <c r="O804" s="2" t="s">
        <v>5874</v>
      </c>
      <c r="P804" s="2" t="s">
        <v>37</v>
      </c>
      <c r="Q804" s="2" t="s">
        <v>7306</v>
      </c>
      <c r="T804" s="2" t="s">
        <v>97</v>
      </c>
      <c r="X804" s="2" t="n">
        <v>10691</v>
      </c>
      <c r="Y804" s="2" t="s">
        <v>7307</v>
      </c>
      <c r="Z804" s="3" t="s">
        <v>7308</v>
      </c>
    </row>
    <row r="805" customFormat="false" ht="13.8" hidden="false" customHeight="false" outlineLevel="0" collapsed="false">
      <c r="A805" s="0" t="str">
        <f aca="false">CONCATENATE("__import__.res_partner_",C805)</f>
        <v>__import__.res_partner_20000010692</v>
      </c>
      <c r="B805" s="2" t="s">
        <v>7309</v>
      </c>
      <c r="C805" s="3" t="s">
        <v>7310</v>
      </c>
      <c r="D805" s="2" t="s">
        <v>7311</v>
      </c>
      <c r="F805" s="2" t="s">
        <v>30</v>
      </c>
      <c r="G805" s="2" t="s">
        <v>1664</v>
      </c>
      <c r="H805" s="2" t="s">
        <v>32</v>
      </c>
      <c r="K805" s="2" t="s">
        <v>7312</v>
      </c>
      <c r="L805" s="3" t="s">
        <v>1204</v>
      </c>
      <c r="M805" s="2" t="s">
        <v>7313</v>
      </c>
      <c r="O805" s="2" t="s">
        <v>1206</v>
      </c>
      <c r="P805" s="2" t="s">
        <v>37</v>
      </c>
      <c r="Q805" s="2" t="s">
        <v>7314</v>
      </c>
      <c r="R805" s="2" t="s">
        <v>7315</v>
      </c>
      <c r="T805" s="2" t="s">
        <v>97</v>
      </c>
      <c r="X805" s="2" t="n">
        <v>10692</v>
      </c>
      <c r="Y805" s="2" t="s">
        <v>7316</v>
      </c>
      <c r="Z805" s="3" t="s">
        <v>7317</v>
      </c>
    </row>
    <row r="806" customFormat="false" ht="13.8" hidden="false" customHeight="false" outlineLevel="0" collapsed="false">
      <c r="A806" s="0" t="str">
        <f aca="false">CONCATENATE("__import__.res_partner_",C806)</f>
        <v>__import__.res_partner_20000010693</v>
      </c>
      <c r="B806" s="2" t="s">
        <v>7318</v>
      </c>
      <c r="C806" s="3" t="s">
        <v>7319</v>
      </c>
      <c r="D806" s="2" t="s">
        <v>7320</v>
      </c>
      <c r="F806" s="2" t="s">
        <v>30</v>
      </c>
      <c r="G806" s="2" t="s">
        <v>1664</v>
      </c>
      <c r="H806" s="2" t="s">
        <v>32</v>
      </c>
      <c r="K806" s="2" t="s">
        <v>7321</v>
      </c>
      <c r="L806" s="3" t="s">
        <v>7322</v>
      </c>
      <c r="M806" s="2" t="s">
        <v>7323</v>
      </c>
      <c r="N806" s="2" t="s">
        <v>7324</v>
      </c>
      <c r="O806" s="2" t="s">
        <v>49</v>
      </c>
      <c r="P806" s="2" t="s">
        <v>37</v>
      </c>
      <c r="T806" s="2" t="s">
        <v>76</v>
      </c>
      <c r="X806" s="2" t="n">
        <v>10693</v>
      </c>
      <c r="Y806" s="2" t="s">
        <v>678</v>
      </c>
      <c r="Z806" s="3" t="s">
        <v>7325</v>
      </c>
    </row>
    <row r="807" customFormat="false" ht="13.8" hidden="false" customHeight="false" outlineLevel="0" collapsed="false">
      <c r="A807" s="0" t="str">
        <f aca="false">CONCATENATE("__import__.res_partner_",C807)</f>
        <v>__import__.res_partner_20000010694</v>
      </c>
      <c r="B807" s="2" t="s">
        <v>7326</v>
      </c>
      <c r="C807" s="3" t="s">
        <v>7327</v>
      </c>
      <c r="D807" s="2" t="s">
        <v>7328</v>
      </c>
      <c r="F807" s="2" t="s">
        <v>30</v>
      </c>
      <c r="G807" s="2" t="s">
        <v>1664</v>
      </c>
      <c r="H807" s="2" t="s">
        <v>32</v>
      </c>
      <c r="K807" s="2" t="s">
        <v>7329</v>
      </c>
      <c r="L807" s="3" t="s">
        <v>2763</v>
      </c>
      <c r="M807" s="2" t="s">
        <v>7330</v>
      </c>
      <c r="O807" s="2" t="s">
        <v>3689</v>
      </c>
      <c r="P807" s="2" t="s">
        <v>37</v>
      </c>
      <c r="Q807" s="2" t="s">
        <v>7331</v>
      </c>
      <c r="R807" s="2" t="s">
        <v>7332</v>
      </c>
      <c r="T807" s="2" t="s">
        <v>697</v>
      </c>
      <c r="X807" s="2" t="n">
        <v>10694</v>
      </c>
      <c r="Y807" s="2" t="s">
        <v>7333</v>
      </c>
      <c r="Z807" s="3" t="s">
        <v>7334</v>
      </c>
    </row>
    <row r="808" customFormat="false" ht="13.8" hidden="false" customHeight="false" outlineLevel="0" collapsed="false">
      <c r="A808" s="0" t="str">
        <f aca="false">CONCATENATE("__import__.res_partner_",C808)</f>
        <v>__import__.res_partner_20000010695</v>
      </c>
      <c r="B808" s="2" t="s">
        <v>7335</v>
      </c>
      <c r="C808" s="3" t="s">
        <v>7336</v>
      </c>
      <c r="D808" s="2" t="s">
        <v>7337</v>
      </c>
      <c r="F808" s="2" t="s">
        <v>30</v>
      </c>
      <c r="G808" s="2" t="s">
        <v>1664</v>
      </c>
      <c r="H808" s="2" t="s">
        <v>32</v>
      </c>
      <c r="K808" s="2" t="s">
        <v>7338</v>
      </c>
      <c r="L808" s="3" t="s">
        <v>7339</v>
      </c>
      <c r="M808" s="2" t="s">
        <v>7340</v>
      </c>
      <c r="O808" s="2" t="s">
        <v>3128</v>
      </c>
      <c r="P808" s="2" t="s">
        <v>37</v>
      </c>
      <c r="Q808" s="2" t="s">
        <v>7341</v>
      </c>
      <c r="R808" s="3" t="s">
        <v>7342</v>
      </c>
      <c r="T808" s="2" t="s">
        <v>697</v>
      </c>
      <c r="X808" s="2" t="n">
        <v>10695</v>
      </c>
      <c r="Y808" s="2" t="s">
        <v>7343</v>
      </c>
      <c r="Z808" s="3" t="s">
        <v>7344</v>
      </c>
    </row>
    <row r="809" customFormat="false" ht="13.8" hidden="false" customHeight="false" outlineLevel="0" collapsed="false">
      <c r="A809" s="0" t="str">
        <f aca="false">CONCATENATE("__import__.res_partner_",C809)</f>
        <v>__import__.res_partner_20000010696</v>
      </c>
      <c r="B809" s="2" t="s">
        <v>7345</v>
      </c>
      <c r="C809" s="3" t="s">
        <v>7346</v>
      </c>
      <c r="D809" s="2" t="s">
        <v>7347</v>
      </c>
      <c r="F809" s="2" t="s">
        <v>30</v>
      </c>
      <c r="G809" s="2" t="s">
        <v>1664</v>
      </c>
      <c r="H809" s="2" t="s">
        <v>32</v>
      </c>
      <c r="K809" s="2" t="s">
        <v>7348</v>
      </c>
      <c r="M809" s="2" t="s">
        <v>7349</v>
      </c>
      <c r="O809" s="2" t="s">
        <v>2801</v>
      </c>
      <c r="P809" s="2" t="s">
        <v>37</v>
      </c>
      <c r="Q809" s="2" t="s">
        <v>7350</v>
      </c>
      <c r="R809" s="2" t="s">
        <v>7351</v>
      </c>
      <c r="T809" s="2" t="s">
        <v>76</v>
      </c>
      <c r="X809" s="2" t="n">
        <v>10696</v>
      </c>
      <c r="Y809" s="2" t="s">
        <v>678</v>
      </c>
      <c r="Z809" s="3" t="s">
        <v>7352</v>
      </c>
    </row>
    <row r="810" customFormat="false" ht="13.8" hidden="false" customHeight="false" outlineLevel="0" collapsed="false">
      <c r="A810" s="0" t="str">
        <f aca="false">CONCATENATE("__import__.res_partner_",C810)</f>
        <v>__import__.res_partner_20000010697</v>
      </c>
      <c r="B810" s="2" t="s">
        <v>7353</v>
      </c>
      <c r="C810" s="3" t="s">
        <v>7354</v>
      </c>
      <c r="D810" s="2" t="s">
        <v>7355</v>
      </c>
      <c r="F810" s="2" t="s">
        <v>30</v>
      </c>
      <c r="G810" s="2" t="s">
        <v>1664</v>
      </c>
      <c r="H810" s="2" t="s">
        <v>32</v>
      </c>
      <c r="K810" s="2" t="s">
        <v>7356</v>
      </c>
      <c r="L810" s="3" t="s">
        <v>2799</v>
      </c>
      <c r="M810" s="2" t="s">
        <v>7357</v>
      </c>
      <c r="O810" s="2" t="s">
        <v>2801</v>
      </c>
      <c r="P810" s="2" t="s">
        <v>37</v>
      </c>
      <c r="R810" s="2" t="s">
        <v>7358</v>
      </c>
      <c r="T810" s="2" t="s">
        <v>76</v>
      </c>
      <c r="X810" s="2" t="n">
        <v>10697</v>
      </c>
      <c r="Y810" s="2" t="s">
        <v>678</v>
      </c>
      <c r="Z810" s="3" t="s">
        <v>7359</v>
      </c>
    </row>
    <row r="811" customFormat="false" ht="13.8" hidden="false" customHeight="false" outlineLevel="0" collapsed="false">
      <c r="A811" s="0" t="str">
        <f aca="false">CONCATENATE("__import__.res_partner_",C811)</f>
        <v>__import__.res_partner_20000010698</v>
      </c>
      <c r="B811" s="2" t="s">
        <v>7360</v>
      </c>
      <c r="C811" s="3" t="s">
        <v>7361</v>
      </c>
      <c r="D811" s="2" t="s">
        <v>7362</v>
      </c>
      <c r="F811" s="2" t="s">
        <v>30</v>
      </c>
      <c r="G811" s="2" t="s">
        <v>1664</v>
      </c>
      <c r="H811" s="2" t="s">
        <v>32</v>
      </c>
      <c r="K811" s="2" t="s">
        <v>7363</v>
      </c>
      <c r="L811" s="3" t="s">
        <v>7364</v>
      </c>
      <c r="M811" s="2" t="s">
        <v>7365</v>
      </c>
      <c r="O811" s="2" t="s">
        <v>165</v>
      </c>
      <c r="P811" s="2" t="s">
        <v>37</v>
      </c>
      <c r="Q811" s="2" t="s">
        <v>3266</v>
      </c>
      <c r="T811" s="2" t="s">
        <v>97</v>
      </c>
      <c r="X811" s="2" t="n">
        <v>10698</v>
      </c>
      <c r="Y811" s="2" t="s">
        <v>7366</v>
      </c>
      <c r="Z811" s="3" t="s">
        <v>7367</v>
      </c>
    </row>
    <row r="812" customFormat="false" ht="13.8" hidden="false" customHeight="false" outlineLevel="0" collapsed="false">
      <c r="A812" s="0" t="str">
        <f aca="false">CONCATENATE("__import__.res_partner_",C812)</f>
        <v>__import__.res_partner_20000010700</v>
      </c>
      <c r="B812" s="2" t="s">
        <v>7368</v>
      </c>
      <c r="C812" s="3" t="s">
        <v>7369</v>
      </c>
      <c r="D812" s="2" t="s">
        <v>7370</v>
      </c>
      <c r="F812" s="3" t="s">
        <v>557</v>
      </c>
      <c r="G812" s="2" t="s">
        <v>31</v>
      </c>
      <c r="H812" s="2" t="s">
        <v>32</v>
      </c>
      <c r="K812" s="2" t="s">
        <v>7371</v>
      </c>
      <c r="L812" s="3" t="s">
        <v>7372</v>
      </c>
      <c r="M812" s="2" t="s">
        <v>7373</v>
      </c>
      <c r="O812" s="2" t="s">
        <v>6610</v>
      </c>
      <c r="P812" s="2" t="s">
        <v>37</v>
      </c>
      <c r="T812" s="2" t="s">
        <v>5195</v>
      </c>
      <c r="X812" s="2" t="n">
        <v>10700</v>
      </c>
      <c r="Y812" s="2" t="s">
        <v>7374</v>
      </c>
      <c r="Z812" s="3" t="s">
        <v>7375</v>
      </c>
    </row>
    <row r="813" customFormat="false" ht="13.8" hidden="false" customHeight="false" outlineLevel="0" collapsed="false">
      <c r="A813" s="0" t="str">
        <f aca="false">CONCATENATE("__import__.res_partner_",C813)</f>
        <v>__import__.res_partner_20000010701</v>
      </c>
      <c r="B813" s="2" t="s">
        <v>7376</v>
      </c>
      <c r="C813" s="3" t="s">
        <v>7377</v>
      </c>
      <c r="D813" s="2" t="s">
        <v>7378</v>
      </c>
      <c r="F813" s="2" t="s">
        <v>30</v>
      </c>
      <c r="G813" s="2" t="s">
        <v>31</v>
      </c>
      <c r="H813" s="2" t="s">
        <v>32</v>
      </c>
      <c r="K813" s="2" t="s">
        <v>7379</v>
      </c>
      <c r="L813" s="3" t="s">
        <v>509</v>
      </c>
      <c r="M813" s="2" t="s">
        <v>5419</v>
      </c>
      <c r="N813" s="2" t="s">
        <v>5420</v>
      </c>
      <c r="O813" s="2" t="s">
        <v>5421</v>
      </c>
      <c r="P813" s="2" t="s">
        <v>37</v>
      </c>
      <c r="T813" s="2" t="s">
        <v>5195</v>
      </c>
      <c r="X813" s="2" t="n">
        <v>10701</v>
      </c>
      <c r="Y813" s="2" t="s">
        <v>678</v>
      </c>
      <c r="Z813" s="3" t="s">
        <v>7380</v>
      </c>
    </row>
    <row r="814" customFormat="false" ht="13.8" hidden="false" customHeight="false" outlineLevel="0" collapsed="false">
      <c r="A814" s="0" t="str">
        <f aca="false">CONCATENATE("__import__.res_partner_",C814)</f>
        <v>__import__.res_partner_20000010702</v>
      </c>
      <c r="B814" s="2" t="s">
        <v>7381</v>
      </c>
      <c r="C814" s="3" t="s">
        <v>7382</v>
      </c>
      <c r="D814" s="2" t="s">
        <v>7383</v>
      </c>
      <c r="F814" s="2" t="s">
        <v>30</v>
      </c>
      <c r="G814" s="2" t="s">
        <v>31</v>
      </c>
      <c r="H814" s="2" t="s">
        <v>32</v>
      </c>
      <c r="K814" s="2" t="s">
        <v>7384</v>
      </c>
      <c r="L814" s="3" t="s">
        <v>1563</v>
      </c>
      <c r="M814" s="2" t="s">
        <v>7385</v>
      </c>
      <c r="O814" s="2" t="s">
        <v>116</v>
      </c>
      <c r="P814" s="2" t="s">
        <v>37</v>
      </c>
      <c r="Q814" s="2" t="s">
        <v>7386</v>
      </c>
      <c r="R814" s="2" t="s">
        <v>7387</v>
      </c>
      <c r="T814" s="2" t="s">
        <v>5195</v>
      </c>
      <c r="W814" s="2" t="s">
        <v>7388</v>
      </c>
      <c r="X814" s="2" t="n">
        <v>10702</v>
      </c>
      <c r="Y814" s="2" t="s">
        <v>7389</v>
      </c>
      <c r="Z814" s="3" t="s">
        <v>7390</v>
      </c>
    </row>
    <row r="815" customFormat="false" ht="13.8" hidden="false" customHeight="false" outlineLevel="0" collapsed="false">
      <c r="A815" s="0" t="str">
        <f aca="false">CONCATENATE("__import__.res_partner_",C815)</f>
        <v>__import__.res_partner_20000010703</v>
      </c>
      <c r="B815" s="2" t="s">
        <v>7391</v>
      </c>
      <c r="C815" s="3" t="s">
        <v>7392</v>
      </c>
      <c r="D815" s="2" t="s">
        <v>7393</v>
      </c>
      <c r="F815" s="2" t="s">
        <v>30</v>
      </c>
      <c r="G815" s="2" t="s">
        <v>31</v>
      </c>
      <c r="H815" s="2" t="s">
        <v>32</v>
      </c>
      <c r="K815" s="2" t="s">
        <v>7394</v>
      </c>
      <c r="L815" s="3" t="s">
        <v>7395</v>
      </c>
      <c r="M815" s="2" t="s">
        <v>7396</v>
      </c>
      <c r="O815" s="2" t="s">
        <v>7397</v>
      </c>
      <c r="P815" s="2" t="s">
        <v>37</v>
      </c>
      <c r="Q815" s="2" t="s">
        <v>7398</v>
      </c>
      <c r="R815" s="3" t="s">
        <v>7399</v>
      </c>
      <c r="T815" s="2" t="s">
        <v>76</v>
      </c>
      <c r="X815" s="2" t="n">
        <v>10703</v>
      </c>
      <c r="Y815" s="2" t="s">
        <v>7400</v>
      </c>
      <c r="Z815" s="3" t="s">
        <v>7401</v>
      </c>
    </row>
    <row r="816" customFormat="false" ht="13.8" hidden="false" customHeight="false" outlineLevel="0" collapsed="false">
      <c r="A816" s="0" t="str">
        <f aca="false">CONCATENATE("__import__.res_partner_",C816)</f>
        <v>__import__.res_partner_20000010704</v>
      </c>
      <c r="B816" s="2" t="s">
        <v>7402</v>
      </c>
      <c r="C816" s="3" t="s">
        <v>7403</v>
      </c>
      <c r="D816" s="2" t="s">
        <v>7404</v>
      </c>
      <c r="F816" s="3" t="s">
        <v>557</v>
      </c>
      <c r="G816" s="2" t="s">
        <v>31</v>
      </c>
      <c r="H816" s="2" t="s">
        <v>32</v>
      </c>
      <c r="K816" s="2" t="s">
        <v>7405</v>
      </c>
      <c r="L816" s="3" t="s">
        <v>7406</v>
      </c>
      <c r="M816" s="2" t="s">
        <v>7407</v>
      </c>
      <c r="O816" s="2" t="s">
        <v>3128</v>
      </c>
      <c r="P816" s="2" t="s">
        <v>37</v>
      </c>
      <c r="Q816" s="2" t="s">
        <v>7408</v>
      </c>
      <c r="R816" s="2" t="s">
        <v>7409</v>
      </c>
      <c r="T816" s="2" t="s">
        <v>697</v>
      </c>
      <c r="X816" s="2" t="n">
        <v>10704</v>
      </c>
      <c r="Y816" s="2" t="s">
        <v>7410</v>
      </c>
      <c r="Z816" s="3" t="s">
        <v>7411</v>
      </c>
    </row>
    <row r="817" customFormat="false" ht="13.8" hidden="false" customHeight="false" outlineLevel="0" collapsed="false">
      <c r="A817" s="0" t="str">
        <f aca="false">CONCATENATE("__import__.res_partner_",C817)</f>
        <v>__import__.res_partner_20000010705</v>
      </c>
      <c r="B817" s="2" t="s">
        <v>7412</v>
      </c>
      <c r="C817" s="3" t="s">
        <v>7413</v>
      </c>
      <c r="D817" s="2" t="s">
        <v>7414</v>
      </c>
      <c r="F817" s="2" t="s">
        <v>30</v>
      </c>
      <c r="G817" s="2" t="s">
        <v>31</v>
      </c>
      <c r="H817" s="2" t="s">
        <v>32</v>
      </c>
      <c r="K817" s="2" t="s">
        <v>7415</v>
      </c>
      <c r="L817" s="3" t="s">
        <v>4984</v>
      </c>
      <c r="M817" s="2" t="s">
        <v>7416</v>
      </c>
      <c r="O817" s="2" t="s">
        <v>2709</v>
      </c>
      <c r="P817" s="2" t="s">
        <v>37</v>
      </c>
      <c r="R817" s="2" t="s">
        <v>7417</v>
      </c>
      <c r="T817" s="2" t="s">
        <v>76</v>
      </c>
      <c r="X817" s="2" t="n">
        <v>10705</v>
      </c>
      <c r="Y817" s="2" t="s">
        <v>7418</v>
      </c>
      <c r="Z817" s="3" t="s">
        <v>7419</v>
      </c>
    </row>
    <row r="818" customFormat="false" ht="28.5" hidden="false" customHeight="false" outlineLevel="0" collapsed="false">
      <c r="A818" s="0" t="str">
        <f aca="false">CONCATENATE("__import__.res_partner_",C818)</f>
        <v>__import__.res_partner_20000010707</v>
      </c>
      <c r="B818" s="2" t="s">
        <v>7420</v>
      </c>
      <c r="C818" s="3" t="s">
        <v>7421</v>
      </c>
      <c r="D818" s="2" t="s">
        <v>7422</v>
      </c>
      <c r="F818" s="2" t="s">
        <v>30</v>
      </c>
      <c r="G818" s="2" t="s">
        <v>31</v>
      </c>
      <c r="H818" s="2" t="s">
        <v>32</v>
      </c>
      <c r="K818" s="2" t="s">
        <v>7423</v>
      </c>
      <c r="L818" s="3" t="s">
        <v>7424</v>
      </c>
      <c r="M818" s="2" t="s">
        <v>7425</v>
      </c>
      <c r="O818" s="2" t="s">
        <v>7426</v>
      </c>
      <c r="P818" s="2" t="s">
        <v>37</v>
      </c>
      <c r="Q818" s="2" t="s">
        <v>7427</v>
      </c>
      <c r="T818" s="2" t="s">
        <v>97</v>
      </c>
      <c r="X818" s="2" t="n">
        <v>10707</v>
      </c>
      <c r="Y818" s="2" t="s">
        <v>7428</v>
      </c>
      <c r="Z818" s="3" t="s">
        <v>7429</v>
      </c>
      <c r="AA818" s="4" t="s">
        <v>7430</v>
      </c>
    </row>
    <row r="819" customFormat="false" ht="13.8" hidden="false" customHeight="false" outlineLevel="0" collapsed="false">
      <c r="A819" s="0" t="str">
        <f aca="false">CONCATENATE("__import__.res_partner_",C819)</f>
        <v>__import__.res_partner_20000010708</v>
      </c>
      <c r="B819" s="2" t="s">
        <v>7431</v>
      </c>
      <c r="C819" s="3" t="s">
        <v>7432</v>
      </c>
      <c r="D819" s="2" t="s">
        <v>7433</v>
      </c>
      <c r="F819" s="2" t="s">
        <v>30</v>
      </c>
      <c r="G819" s="2" t="s">
        <v>31</v>
      </c>
      <c r="H819" s="2" t="s">
        <v>32</v>
      </c>
      <c r="K819" s="2" t="s">
        <v>7434</v>
      </c>
      <c r="L819" s="3" t="s">
        <v>2548</v>
      </c>
      <c r="M819" s="2" t="s">
        <v>7435</v>
      </c>
      <c r="O819" s="2" t="s">
        <v>49</v>
      </c>
      <c r="P819" s="2" t="s">
        <v>37</v>
      </c>
      <c r="Q819" s="2" t="s">
        <v>7436</v>
      </c>
      <c r="R819" s="3" t="s">
        <v>7437</v>
      </c>
      <c r="T819" s="2" t="s">
        <v>76</v>
      </c>
      <c r="X819" s="2" t="n">
        <v>10708</v>
      </c>
      <c r="Y819" s="2" t="s">
        <v>7438</v>
      </c>
      <c r="Z819" s="3" t="s">
        <v>7439</v>
      </c>
    </row>
    <row r="820" customFormat="false" ht="13.8" hidden="false" customHeight="false" outlineLevel="0" collapsed="false">
      <c r="A820" s="0" t="str">
        <f aca="false">CONCATENATE("__import__.res_partner_",C820)</f>
        <v>__import__.res_partner_20000010709</v>
      </c>
      <c r="B820" s="2" t="s">
        <v>7440</v>
      </c>
      <c r="C820" s="3" t="s">
        <v>7441</v>
      </c>
      <c r="D820" s="2" t="s">
        <v>7442</v>
      </c>
      <c r="F820" s="2" t="s">
        <v>30</v>
      </c>
      <c r="G820" s="2" t="s">
        <v>31</v>
      </c>
      <c r="H820" s="2" t="s">
        <v>32</v>
      </c>
      <c r="K820" s="2" t="s">
        <v>7443</v>
      </c>
      <c r="L820" s="3" t="s">
        <v>7444</v>
      </c>
      <c r="M820" s="2" t="s">
        <v>7445</v>
      </c>
      <c r="O820" s="2" t="s">
        <v>7446</v>
      </c>
      <c r="P820" s="2" t="s">
        <v>563</v>
      </c>
      <c r="T820" s="2" t="s">
        <v>108</v>
      </c>
      <c r="X820" s="2" t="n">
        <v>10709</v>
      </c>
      <c r="Y820" s="2" t="s">
        <v>7447</v>
      </c>
      <c r="Z820" s="3" t="s">
        <v>7448</v>
      </c>
    </row>
    <row r="821" customFormat="false" ht="13.8" hidden="false" customHeight="false" outlineLevel="0" collapsed="false">
      <c r="A821" s="0" t="str">
        <f aca="false">CONCATENATE("__import__.res_partner_",C821)</f>
        <v>__import__.res_partner_20000010711</v>
      </c>
      <c r="B821" s="2" t="s">
        <v>7449</v>
      </c>
      <c r="C821" s="3" t="s">
        <v>7450</v>
      </c>
      <c r="D821" s="2" t="s">
        <v>7451</v>
      </c>
      <c r="F821" s="2" t="s">
        <v>30</v>
      </c>
      <c r="G821" s="2" t="s">
        <v>31</v>
      </c>
      <c r="H821" s="2" t="s">
        <v>32</v>
      </c>
      <c r="K821" s="2" t="s">
        <v>7452</v>
      </c>
      <c r="L821" s="3" t="s">
        <v>7453</v>
      </c>
      <c r="M821" s="2" t="s">
        <v>7454</v>
      </c>
      <c r="O821" s="2" t="s">
        <v>7455</v>
      </c>
      <c r="P821" s="2" t="s">
        <v>37</v>
      </c>
      <c r="Q821" s="2" t="s">
        <v>7456</v>
      </c>
      <c r="R821" s="2" t="s">
        <v>7457</v>
      </c>
      <c r="T821" s="2" t="s">
        <v>697</v>
      </c>
      <c r="X821" s="2" t="n">
        <v>10711</v>
      </c>
      <c r="Y821" s="2" t="s">
        <v>678</v>
      </c>
      <c r="Z821" s="3" t="s">
        <v>7458</v>
      </c>
    </row>
    <row r="822" customFormat="false" ht="28.5" hidden="false" customHeight="false" outlineLevel="0" collapsed="false">
      <c r="A822" s="0" t="str">
        <f aca="false">CONCATENATE("__import__.res_partner_",C822)</f>
        <v>__import__.res_partner_20000010712</v>
      </c>
      <c r="B822" s="2" t="s">
        <v>7459</v>
      </c>
      <c r="C822" s="3" t="s">
        <v>7460</v>
      </c>
      <c r="D822" s="2" t="s">
        <v>7461</v>
      </c>
      <c r="F822" s="2" t="s">
        <v>30</v>
      </c>
      <c r="G822" s="2" t="s">
        <v>31</v>
      </c>
      <c r="H822" s="2" t="s">
        <v>32</v>
      </c>
      <c r="K822" s="2" t="s">
        <v>7462</v>
      </c>
      <c r="L822" s="3" t="s">
        <v>641</v>
      </c>
      <c r="M822" s="2" t="s">
        <v>7463</v>
      </c>
      <c r="O822" s="2" t="s">
        <v>643</v>
      </c>
      <c r="P822" s="2" t="s">
        <v>37</v>
      </c>
      <c r="Q822" s="2" t="s">
        <v>7464</v>
      </c>
      <c r="R822" s="2" t="s">
        <v>7465</v>
      </c>
      <c r="T822" s="2" t="s">
        <v>97</v>
      </c>
      <c r="X822" s="2" t="n">
        <v>10712</v>
      </c>
      <c r="Y822" s="2" t="s">
        <v>7466</v>
      </c>
      <c r="Z822" s="3" t="s">
        <v>7467</v>
      </c>
      <c r="AA822" s="4" t="s">
        <v>7468</v>
      </c>
    </row>
    <row r="823" customFormat="false" ht="13.8" hidden="false" customHeight="false" outlineLevel="0" collapsed="false">
      <c r="A823" s="0" t="str">
        <f aca="false">CONCATENATE("__import__.res_partner_",C823)</f>
        <v>__import__.res_partner_20000010713</v>
      </c>
      <c r="B823" s="2" t="s">
        <v>7469</v>
      </c>
      <c r="C823" s="3" t="s">
        <v>7470</v>
      </c>
      <c r="D823" s="2" t="s">
        <v>7471</v>
      </c>
      <c r="F823" s="2" t="s">
        <v>30</v>
      </c>
      <c r="G823" s="2" t="s">
        <v>31</v>
      </c>
      <c r="H823" s="2" t="s">
        <v>32</v>
      </c>
      <c r="K823" s="2" t="s">
        <v>7472</v>
      </c>
      <c r="L823" s="3" t="s">
        <v>7473</v>
      </c>
      <c r="M823" s="2" t="s">
        <v>7474</v>
      </c>
      <c r="N823" s="3" t="s">
        <v>7475</v>
      </c>
      <c r="O823" s="2" t="s">
        <v>7476</v>
      </c>
      <c r="P823" s="2" t="s">
        <v>7477</v>
      </c>
      <c r="T823" s="2" t="s">
        <v>76</v>
      </c>
      <c r="X823" s="2" t="n">
        <v>10713</v>
      </c>
      <c r="Y823" s="2" t="s">
        <v>678</v>
      </c>
      <c r="Z823" s="3" t="s">
        <v>7478</v>
      </c>
    </row>
    <row r="824" customFormat="false" ht="13.8" hidden="false" customHeight="false" outlineLevel="0" collapsed="false">
      <c r="A824" s="0" t="str">
        <f aca="false">CONCATENATE("__import__.res_partner_",C824)</f>
        <v>__import__.res_partner_20000010714</v>
      </c>
      <c r="B824" s="2" t="s">
        <v>7479</v>
      </c>
      <c r="C824" s="3" t="s">
        <v>7480</v>
      </c>
      <c r="D824" s="2" t="s">
        <v>7481</v>
      </c>
      <c r="F824" s="2" t="s">
        <v>30</v>
      </c>
      <c r="G824" s="2" t="s">
        <v>1664</v>
      </c>
      <c r="H824" s="2" t="s">
        <v>32</v>
      </c>
      <c r="K824" s="2" t="s">
        <v>7482</v>
      </c>
      <c r="L824" s="3" t="s">
        <v>2763</v>
      </c>
      <c r="M824" s="2" t="s">
        <v>7483</v>
      </c>
      <c r="O824" s="2" t="s">
        <v>3689</v>
      </c>
      <c r="P824" s="2" t="s">
        <v>37</v>
      </c>
      <c r="Q824" s="2" t="s">
        <v>7484</v>
      </c>
      <c r="R824" s="2" t="s">
        <v>7485</v>
      </c>
      <c r="T824" s="2" t="s">
        <v>108</v>
      </c>
      <c r="X824" s="2" t="n">
        <v>10714</v>
      </c>
      <c r="Y824" s="2" t="s">
        <v>678</v>
      </c>
      <c r="Z824" s="3" t="s">
        <v>7486</v>
      </c>
    </row>
    <row r="825" customFormat="false" ht="13.8" hidden="false" customHeight="false" outlineLevel="0" collapsed="false">
      <c r="A825" s="0" t="str">
        <f aca="false">CONCATENATE("__import__.res_partner_",C825)</f>
        <v>__import__.res_partner_20000010715</v>
      </c>
      <c r="B825" s="2" t="s">
        <v>7487</v>
      </c>
      <c r="C825" s="3" t="s">
        <v>7488</v>
      </c>
      <c r="D825" s="2" t="s">
        <v>7489</v>
      </c>
      <c r="F825" s="2" t="s">
        <v>30</v>
      </c>
      <c r="G825" s="2" t="s">
        <v>31</v>
      </c>
      <c r="H825" s="2" t="s">
        <v>32</v>
      </c>
      <c r="K825" s="2" t="s">
        <v>7490</v>
      </c>
      <c r="L825" s="3" t="s">
        <v>7491</v>
      </c>
      <c r="M825" s="2" t="s">
        <v>7492</v>
      </c>
      <c r="O825" s="2" t="s">
        <v>7493</v>
      </c>
      <c r="P825" s="2" t="s">
        <v>37</v>
      </c>
      <c r="Q825" s="2" t="s">
        <v>7494</v>
      </c>
      <c r="R825" s="2" t="s">
        <v>7495</v>
      </c>
      <c r="T825" s="2" t="s">
        <v>697</v>
      </c>
      <c r="X825" s="2" t="n">
        <v>10715</v>
      </c>
      <c r="Y825" s="2" t="s">
        <v>678</v>
      </c>
      <c r="Z825" s="3" t="s">
        <v>7496</v>
      </c>
    </row>
    <row r="826" customFormat="false" ht="13.8" hidden="false" customHeight="false" outlineLevel="0" collapsed="false">
      <c r="A826" s="0" t="str">
        <f aca="false">CONCATENATE("__import__.res_partner_",C826)</f>
        <v>__import__.res_partner_20000010716</v>
      </c>
      <c r="B826" s="2" t="s">
        <v>7497</v>
      </c>
      <c r="C826" s="3" t="s">
        <v>7498</v>
      </c>
      <c r="D826" s="2" t="s">
        <v>7499</v>
      </c>
      <c r="F826" s="2" t="s">
        <v>30</v>
      </c>
      <c r="G826" s="2" t="s">
        <v>1664</v>
      </c>
      <c r="H826" s="2" t="s">
        <v>32</v>
      </c>
      <c r="K826" s="2" t="s">
        <v>7500</v>
      </c>
      <c r="L826" s="3" t="s">
        <v>2763</v>
      </c>
      <c r="M826" s="2" t="s">
        <v>7501</v>
      </c>
      <c r="O826" s="2" t="s">
        <v>3689</v>
      </c>
      <c r="P826" s="2" t="s">
        <v>37</v>
      </c>
      <c r="Q826" s="2" t="s">
        <v>7502</v>
      </c>
      <c r="R826" s="2" t="s">
        <v>7503</v>
      </c>
      <c r="T826" s="2" t="s">
        <v>108</v>
      </c>
      <c r="X826" s="2" t="n">
        <v>10716</v>
      </c>
      <c r="Y826" s="2" t="s">
        <v>7504</v>
      </c>
      <c r="Z826" s="3" t="s">
        <v>7505</v>
      </c>
    </row>
    <row r="827" customFormat="false" ht="13.8" hidden="false" customHeight="false" outlineLevel="0" collapsed="false">
      <c r="A827" s="0" t="str">
        <f aca="false">CONCATENATE("__import__.res_partner_",C827)</f>
        <v>__import__.res_partner_20000010717</v>
      </c>
      <c r="B827" s="2" t="s">
        <v>7506</v>
      </c>
      <c r="C827" s="3" t="s">
        <v>7507</v>
      </c>
      <c r="D827" s="2" t="s">
        <v>7508</v>
      </c>
      <c r="F827" s="2" t="s">
        <v>30</v>
      </c>
      <c r="G827" s="2" t="s">
        <v>1664</v>
      </c>
      <c r="H827" s="2" t="s">
        <v>32</v>
      </c>
      <c r="K827" s="2" t="s">
        <v>7509</v>
      </c>
      <c r="L827" s="3" t="s">
        <v>5354</v>
      </c>
      <c r="M827" s="2" t="s">
        <v>7510</v>
      </c>
      <c r="O827" s="2" t="s">
        <v>2709</v>
      </c>
      <c r="P827" s="2" t="s">
        <v>37</v>
      </c>
      <c r="Q827" s="2" t="s">
        <v>7511</v>
      </c>
      <c r="R827" s="2" t="s">
        <v>7512</v>
      </c>
      <c r="T827" s="2" t="s">
        <v>697</v>
      </c>
      <c r="X827" s="2" t="n">
        <v>10717</v>
      </c>
      <c r="Y827" s="2" t="s">
        <v>678</v>
      </c>
      <c r="Z827" s="3" t="s">
        <v>7513</v>
      </c>
    </row>
    <row r="828" customFormat="false" ht="13.8" hidden="false" customHeight="false" outlineLevel="0" collapsed="false">
      <c r="A828" s="0" t="str">
        <f aca="false">CONCATENATE("__import__.res_partner_",C828)</f>
        <v>__import__.res_partner_20000010718</v>
      </c>
      <c r="B828" s="2" t="s">
        <v>7514</v>
      </c>
      <c r="C828" s="3" t="s">
        <v>7515</v>
      </c>
      <c r="D828" s="2" t="s">
        <v>7516</v>
      </c>
      <c r="F828" s="3" t="s">
        <v>557</v>
      </c>
      <c r="G828" s="2" t="s">
        <v>31</v>
      </c>
      <c r="H828" s="2" t="s">
        <v>32</v>
      </c>
      <c r="K828" s="2" t="s">
        <v>7517</v>
      </c>
      <c r="L828" s="3" t="s">
        <v>2868</v>
      </c>
      <c r="M828" s="2" t="s">
        <v>7518</v>
      </c>
      <c r="O828" s="2" t="s">
        <v>2754</v>
      </c>
      <c r="P828" s="2" t="s">
        <v>37</v>
      </c>
      <c r="R828" s="2" t="s">
        <v>7519</v>
      </c>
      <c r="T828" s="2" t="s">
        <v>697</v>
      </c>
      <c r="X828" s="2" t="n">
        <v>10718</v>
      </c>
      <c r="Y828" s="2" t="s">
        <v>678</v>
      </c>
      <c r="Z828" s="3" t="s">
        <v>7520</v>
      </c>
    </row>
    <row r="829" customFormat="false" ht="13.8" hidden="false" customHeight="false" outlineLevel="0" collapsed="false">
      <c r="A829" s="0" t="str">
        <f aca="false">CONCATENATE("__import__.res_partner_",C829)</f>
        <v>__import__.res_partner_20000010719</v>
      </c>
      <c r="B829" s="2" t="s">
        <v>7521</v>
      </c>
      <c r="C829" s="3" t="s">
        <v>7522</v>
      </c>
      <c r="D829" s="2" t="s">
        <v>7523</v>
      </c>
      <c r="F829" s="2" t="s">
        <v>30</v>
      </c>
      <c r="G829" s="2" t="s">
        <v>1664</v>
      </c>
      <c r="H829" s="2" t="s">
        <v>32</v>
      </c>
      <c r="K829" s="2" t="s">
        <v>7524</v>
      </c>
      <c r="L829" s="3" t="s">
        <v>2752</v>
      </c>
      <c r="M829" s="2" t="s">
        <v>7525</v>
      </c>
      <c r="O829" s="2" t="s">
        <v>2754</v>
      </c>
      <c r="P829" s="2" t="s">
        <v>37</v>
      </c>
      <c r="Q829" s="2" t="s">
        <v>7526</v>
      </c>
      <c r="R829" s="2" t="s">
        <v>7527</v>
      </c>
      <c r="T829" s="2" t="s">
        <v>697</v>
      </c>
      <c r="X829" s="2" t="n">
        <v>10719</v>
      </c>
      <c r="Y829" s="2" t="s">
        <v>7528</v>
      </c>
      <c r="Z829" s="3" t="s">
        <v>7529</v>
      </c>
    </row>
    <row r="830" customFormat="false" ht="13.8" hidden="false" customHeight="false" outlineLevel="0" collapsed="false">
      <c r="A830" s="0" t="str">
        <f aca="false">CONCATENATE("__import__.res_partner_",C830)</f>
        <v>__import__.res_partner_20000010720</v>
      </c>
      <c r="B830" s="2" t="s">
        <v>7530</v>
      </c>
      <c r="C830" s="3" t="s">
        <v>7531</v>
      </c>
      <c r="D830" s="2" t="s">
        <v>7532</v>
      </c>
      <c r="F830" s="2" t="s">
        <v>30</v>
      </c>
      <c r="G830" s="2" t="s">
        <v>1664</v>
      </c>
      <c r="H830" s="2" t="s">
        <v>32</v>
      </c>
      <c r="K830" s="2" t="s">
        <v>7533</v>
      </c>
      <c r="L830" s="3" t="s">
        <v>6264</v>
      </c>
      <c r="M830" s="2" t="s">
        <v>7534</v>
      </c>
      <c r="O830" s="2" t="s">
        <v>3645</v>
      </c>
      <c r="P830" s="2" t="s">
        <v>37</v>
      </c>
      <c r="Q830" s="2" t="s">
        <v>7535</v>
      </c>
      <c r="R830" s="2" t="s">
        <v>6269</v>
      </c>
      <c r="T830" s="2" t="s">
        <v>697</v>
      </c>
      <c r="X830" s="2" t="n">
        <v>10720</v>
      </c>
      <c r="Y830" s="2" t="s">
        <v>7536</v>
      </c>
      <c r="Z830" s="3" t="s">
        <v>7537</v>
      </c>
    </row>
    <row r="831" customFormat="false" ht="13.8" hidden="false" customHeight="false" outlineLevel="0" collapsed="false">
      <c r="A831" s="0" t="str">
        <f aca="false">CONCATENATE("__import__.res_partner_",C831)</f>
        <v>__import__.res_partner_20000010721</v>
      </c>
      <c r="B831" s="2" t="s">
        <v>7538</v>
      </c>
      <c r="C831" s="3" t="s">
        <v>7539</v>
      </c>
      <c r="D831" s="2" t="s">
        <v>7540</v>
      </c>
      <c r="F831" s="3" t="s">
        <v>557</v>
      </c>
      <c r="G831" s="2" t="s">
        <v>1664</v>
      </c>
      <c r="H831" s="2" t="s">
        <v>32</v>
      </c>
      <c r="K831" s="2" t="s">
        <v>7541</v>
      </c>
      <c r="L831" s="3" t="s">
        <v>4788</v>
      </c>
      <c r="M831" s="2" t="s">
        <v>7542</v>
      </c>
      <c r="O831" s="2" t="s">
        <v>4160</v>
      </c>
      <c r="P831" s="2" t="s">
        <v>37</v>
      </c>
      <c r="T831" s="2" t="s">
        <v>697</v>
      </c>
      <c r="X831" s="2" t="n">
        <v>10721</v>
      </c>
      <c r="Z831" s="3" t="s">
        <v>7543</v>
      </c>
    </row>
    <row r="832" customFormat="false" ht="13.8" hidden="false" customHeight="false" outlineLevel="0" collapsed="false">
      <c r="A832" s="0" t="str">
        <f aca="false">CONCATENATE("__import__.res_partner_",C832)</f>
        <v>__import__.res_partner_20000010722</v>
      </c>
      <c r="B832" s="2" t="s">
        <v>7544</v>
      </c>
      <c r="C832" s="3" t="s">
        <v>7545</v>
      </c>
      <c r="D832" s="2" t="s">
        <v>7546</v>
      </c>
      <c r="F832" s="3" t="s">
        <v>557</v>
      </c>
      <c r="G832" s="2" t="s">
        <v>1664</v>
      </c>
      <c r="H832" s="2" t="s">
        <v>32</v>
      </c>
      <c r="K832" s="2" t="s">
        <v>7547</v>
      </c>
      <c r="L832" s="3" t="s">
        <v>4788</v>
      </c>
      <c r="M832" s="2" t="s">
        <v>7542</v>
      </c>
      <c r="O832" s="2" t="s">
        <v>4160</v>
      </c>
      <c r="P832" s="2" t="s">
        <v>37</v>
      </c>
      <c r="T832" s="2" t="s">
        <v>108</v>
      </c>
      <c r="X832" s="2" t="n">
        <v>10722</v>
      </c>
      <c r="Y832" s="2" t="s">
        <v>678</v>
      </c>
      <c r="Z832" s="3" t="s">
        <v>7548</v>
      </c>
    </row>
    <row r="833" customFormat="false" ht="13.8" hidden="false" customHeight="false" outlineLevel="0" collapsed="false">
      <c r="A833" s="0" t="str">
        <f aca="false">CONCATENATE("__import__.res_partner_",C833)</f>
        <v>__import__.res_partner_20000010723</v>
      </c>
      <c r="B833" s="2" t="s">
        <v>7549</v>
      </c>
      <c r="C833" s="3" t="s">
        <v>7550</v>
      </c>
      <c r="D833" s="2" t="s">
        <v>7551</v>
      </c>
      <c r="F833" s="2" t="s">
        <v>30</v>
      </c>
      <c r="G833" s="2" t="s">
        <v>31</v>
      </c>
      <c r="H833" s="2" t="s">
        <v>32</v>
      </c>
      <c r="K833" s="2" t="s">
        <v>7552</v>
      </c>
      <c r="L833" s="3" t="s">
        <v>7553</v>
      </c>
      <c r="M833" s="2" t="s">
        <v>7554</v>
      </c>
      <c r="O833" s="2" t="s">
        <v>2745</v>
      </c>
      <c r="P833" s="2" t="s">
        <v>37</v>
      </c>
      <c r="Q833" s="2" t="s">
        <v>7555</v>
      </c>
      <c r="R833" s="2" t="s">
        <v>7556</v>
      </c>
      <c r="T833" s="2" t="s">
        <v>5195</v>
      </c>
      <c r="X833" s="2" t="n">
        <v>10723</v>
      </c>
      <c r="Y833" s="2" t="s">
        <v>678</v>
      </c>
      <c r="Z833" s="3" t="s">
        <v>7557</v>
      </c>
    </row>
    <row r="834" customFormat="false" ht="13.8" hidden="false" customHeight="false" outlineLevel="0" collapsed="false">
      <c r="A834" s="0" t="str">
        <f aca="false">CONCATENATE("__import__.res_partner_",C834)</f>
        <v>__import__.res_partner_20000010725</v>
      </c>
      <c r="B834" s="2" t="s">
        <v>7558</v>
      </c>
      <c r="C834" s="3" t="s">
        <v>7559</v>
      </c>
      <c r="D834" s="2" t="s">
        <v>7560</v>
      </c>
      <c r="F834" s="2" t="s">
        <v>30</v>
      </c>
      <c r="G834" s="2" t="s">
        <v>31</v>
      </c>
      <c r="H834" s="2" t="s">
        <v>32</v>
      </c>
      <c r="K834" s="2" t="s">
        <v>7561</v>
      </c>
      <c r="L834" s="3" t="s">
        <v>1013</v>
      </c>
      <c r="M834" s="2" t="s">
        <v>7562</v>
      </c>
      <c r="O834" s="2" t="s">
        <v>36</v>
      </c>
      <c r="P834" s="2" t="s">
        <v>37</v>
      </c>
      <c r="Q834" s="2" t="s">
        <v>7563</v>
      </c>
      <c r="R834" s="2" t="s">
        <v>7564</v>
      </c>
      <c r="T834" s="2" t="s">
        <v>97</v>
      </c>
      <c r="X834" s="2" t="n">
        <v>10725</v>
      </c>
      <c r="Y834" s="2" t="s">
        <v>7565</v>
      </c>
      <c r="Z834" s="3" t="s">
        <v>7566</v>
      </c>
    </row>
    <row r="835" customFormat="false" ht="13.8" hidden="false" customHeight="false" outlineLevel="0" collapsed="false">
      <c r="A835" s="0" t="str">
        <f aca="false">CONCATENATE("__import__.res_partner_",C835)</f>
        <v>__import__.res_partner_20000010726</v>
      </c>
      <c r="B835" s="2" t="s">
        <v>7567</v>
      </c>
      <c r="C835" s="3" t="s">
        <v>7568</v>
      </c>
      <c r="D835" s="2" t="s">
        <v>7569</v>
      </c>
      <c r="F835" s="2" t="s">
        <v>30</v>
      </c>
      <c r="G835" s="2" t="s">
        <v>31</v>
      </c>
      <c r="H835" s="2" t="s">
        <v>32</v>
      </c>
      <c r="K835" s="2" t="s">
        <v>7570</v>
      </c>
      <c r="L835" s="3" t="s">
        <v>7571</v>
      </c>
      <c r="M835" s="2" t="s">
        <v>7572</v>
      </c>
      <c r="O835" s="2" t="s">
        <v>7573</v>
      </c>
      <c r="P835" s="2" t="s">
        <v>37</v>
      </c>
      <c r="T835" s="2" t="s">
        <v>5567</v>
      </c>
      <c r="X835" s="2" t="n">
        <v>10726</v>
      </c>
      <c r="Y835" s="2" t="s">
        <v>678</v>
      </c>
      <c r="Z835" s="3" t="s">
        <v>7574</v>
      </c>
    </row>
    <row r="836" customFormat="false" ht="13.8" hidden="false" customHeight="false" outlineLevel="0" collapsed="false">
      <c r="A836" s="0" t="str">
        <f aca="false">CONCATENATE("__import__.res_partner_",C836)</f>
        <v>__import__.res_partner_20000010727</v>
      </c>
      <c r="B836" s="2" t="s">
        <v>7575</v>
      </c>
      <c r="C836" s="3" t="s">
        <v>7576</v>
      </c>
      <c r="D836" s="2" t="s">
        <v>7577</v>
      </c>
      <c r="F836" s="2" t="s">
        <v>30</v>
      </c>
      <c r="G836" s="2" t="s">
        <v>31</v>
      </c>
      <c r="H836" s="2" t="s">
        <v>32</v>
      </c>
      <c r="K836" s="2" t="s">
        <v>7578</v>
      </c>
      <c r="L836" s="3" t="s">
        <v>7579</v>
      </c>
      <c r="M836" s="2" t="s">
        <v>7580</v>
      </c>
      <c r="O836" s="2" t="s">
        <v>7581</v>
      </c>
      <c r="P836" s="2" t="s">
        <v>37</v>
      </c>
      <c r="T836" s="2" t="s">
        <v>5567</v>
      </c>
      <c r="X836" s="2" t="n">
        <v>10727</v>
      </c>
      <c r="Y836" s="2" t="s">
        <v>678</v>
      </c>
      <c r="Z836" s="3" t="s">
        <v>7582</v>
      </c>
    </row>
    <row r="837" customFormat="false" ht="13.8" hidden="false" customHeight="false" outlineLevel="0" collapsed="false">
      <c r="A837" s="0" t="str">
        <f aca="false">CONCATENATE("__import__.res_partner_",C837)</f>
        <v>__import__.res_partner_20000010728</v>
      </c>
      <c r="B837" s="2" t="s">
        <v>7583</v>
      </c>
      <c r="C837" s="3" t="s">
        <v>7584</v>
      </c>
      <c r="D837" s="2" t="s">
        <v>7585</v>
      </c>
      <c r="F837" s="2" t="s">
        <v>30</v>
      </c>
      <c r="G837" s="2" t="s">
        <v>31</v>
      </c>
      <c r="H837" s="2" t="s">
        <v>32</v>
      </c>
      <c r="K837" s="2" t="s">
        <v>7586</v>
      </c>
      <c r="L837" s="3" t="s">
        <v>7587</v>
      </c>
      <c r="M837" s="2" t="s">
        <v>7588</v>
      </c>
      <c r="O837" s="2" t="s">
        <v>7589</v>
      </c>
      <c r="P837" s="2" t="s">
        <v>563</v>
      </c>
      <c r="T837" s="2" t="s">
        <v>5567</v>
      </c>
      <c r="X837" s="2" t="n">
        <v>10728</v>
      </c>
      <c r="Y837" s="2" t="s">
        <v>678</v>
      </c>
      <c r="Z837" s="3" t="s">
        <v>7590</v>
      </c>
    </row>
    <row r="838" customFormat="false" ht="13.8" hidden="false" customHeight="false" outlineLevel="0" collapsed="false">
      <c r="A838" s="0" t="str">
        <f aca="false">CONCATENATE("__import__.res_partner_",C838)</f>
        <v>__import__.res_partner_20000010729</v>
      </c>
      <c r="B838" s="2" t="s">
        <v>7591</v>
      </c>
      <c r="C838" s="3" t="s">
        <v>7592</v>
      </c>
      <c r="D838" s="2" t="s">
        <v>7593</v>
      </c>
      <c r="F838" s="3" t="s">
        <v>557</v>
      </c>
      <c r="G838" s="2" t="s">
        <v>31</v>
      </c>
      <c r="H838" s="2" t="s">
        <v>32</v>
      </c>
      <c r="K838" s="2" t="s">
        <v>7594</v>
      </c>
      <c r="L838" s="3" t="s">
        <v>5308</v>
      </c>
      <c r="M838" s="2" t="s">
        <v>7595</v>
      </c>
      <c r="O838" s="2" t="s">
        <v>7596</v>
      </c>
      <c r="P838" s="2" t="s">
        <v>37</v>
      </c>
      <c r="T838" s="2" t="s">
        <v>5567</v>
      </c>
      <c r="X838" s="2" t="n">
        <v>10729</v>
      </c>
      <c r="Y838" s="2" t="s">
        <v>678</v>
      </c>
      <c r="Z838" s="3" t="s">
        <v>7597</v>
      </c>
    </row>
    <row r="839" customFormat="false" ht="13.8" hidden="false" customHeight="false" outlineLevel="0" collapsed="false">
      <c r="A839" s="0" t="str">
        <f aca="false">CONCATENATE("__import__.res_partner_",C839)</f>
        <v>__import__.res_partner_20000010730</v>
      </c>
      <c r="B839" s="2" t="s">
        <v>7598</v>
      </c>
      <c r="C839" s="3" t="s">
        <v>7599</v>
      </c>
      <c r="D839" s="2" t="s">
        <v>7600</v>
      </c>
      <c r="F839" s="2" t="s">
        <v>30</v>
      </c>
      <c r="G839" s="2" t="s">
        <v>31</v>
      </c>
      <c r="H839" s="2" t="s">
        <v>32</v>
      </c>
      <c r="K839" s="2" t="s">
        <v>7601</v>
      </c>
      <c r="L839" s="3" t="s">
        <v>1178</v>
      </c>
      <c r="M839" s="2" t="s">
        <v>7602</v>
      </c>
      <c r="O839" s="2" t="s">
        <v>7603</v>
      </c>
      <c r="P839" s="2" t="s">
        <v>37</v>
      </c>
      <c r="Q839" s="2" t="s">
        <v>7604</v>
      </c>
      <c r="R839" s="2" t="s">
        <v>7605</v>
      </c>
      <c r="T839" s="2" t="s">
        <v>108</v>
      </c>
      <c r="X839" s="2" t="n">
        <v>10730</v>
      </c>
      <c r="Y839" s="2" t="s">
        <v>7606</v>
      </c>
      <c r="Z839" s="3" t="s">
        <v>7607</v>
      </c>
    </row>
    <row r="840" customFormat="false" ht="13.8" hidden="false" customHeight="false" outlineLevel="0" collapsed="false">
      <c r="A840" s="0" t="str">
        <f aca="false">CONCATENATE("__import__.res_partner_",C840)</f>
        <v>__import__.res_partner_20000010731</v>
      </c>
      <c r="B840" s="2" t="s">
        <v>7608</v>
      </c>
      <c r="C840" s="3" t="s">
        <v>7609</v>
      </c>
      <c r="D840" s="2" t="s">
        <v>7610</v>
      </c>
      <c r="F840" s="2" t="s">
        <v>30</v>
      </c>
      <c r="G840" s="2" t="s">
        <v>31</v>
      </c>
      <c r="H840" s="2" t="s">
        <v>32</v>
      </c>
      <c r="K840" s="2" t="s">
        <v>7611</v>
      </c>
      <c r="L840" s="3" t="s">
        <v>7612</v>
      </c>
      <c r="M840" s="2" t="s">
        <v>7613</v>
      </c>
      <c r="O840" s="2" t="s">
        <v>7614</v>
      </c>
      <c r="P840" s="2" t="s">
        <v>1162</v>
      </c>
      <c r="T840" s="2" t="s">
        <v>97</v>
      </c>
      <c r="X840" s="2" t="n">
        <v>10731</v>
      </c>
      <c r="Y840" s="2" t="s">
        <v>7615</v>
      </c>
      <c r="Z840" s="3" t="s">
        <v>7616</v>
      </c>
    </row>
    <row r="841" customFormat="false" ht="13.8" hidden="false" customHeight="false" outlineLevel="0" collapsed="false">
      <c r="A841" s="0" t="str">
        <f aca="false">CONCATENATE("__import__.res_partner_",C841)</f>
        <v>__import__.res_partner_20000010733</v>
      </c>
      <c r="B841" s="2" t="s">
        <v>7617</v>
      </c>
      <c r="C841" s="3" t="s">
        <v>7618</v>
      </c>
      <c r="D841" s="2" t="s">
        <v>7619</v>
      </c>
      <c r="F841" s="2" t="s">
        <v>30</v>
      </c>
      <c r="G841" s="2" t="s">
        <v>31</v>
      </c>
      <c r="H841" s="2" t="s">
        <v>32</v>
      </c>
      <c r="K841" s="2" t="s">
        <v>7620</v>
      </c>
      <c r="L841" s="2" t="s">
        <v>7621</v>
      </c>
      <c r="M841" s="2" t="s">
        <v>7622</v>
      </c>
      <c r="N841" s="2" t="s">
        <v>7623</v>
      </c>
      <c r="O841" s="2" t="s">
        <v>7624</v>
      </c>
      <c r="P841" s="2" t="s">
        <v>675</v>
      </c>
      <c r="T841" s="2" t="s">
        <v>76</v>
      </c>
      <c r="X841" s="2" t="n">
        <v>10733</v>
      </c>
      <c r="Y841" s="2" t="s">
        <v>678</v>
      </c>
      <c r="Z841" s="3" t="s">
        <v>7625</v>
      </c>
    </row>
    <row r="842" customFormat="false" ht="13.8" hidden="false" customHeight="false" outlineLevel="0" collapsed="false">
      <c r="A842" s="0" t="str">
        <f aca="false">CONCATENATE("__import__.res_partner_",C842)</f>
        <v>__import__.res_partner_20000010734</v>
      </c>
      <c r="B842" s="2" t="s">
        <v>7626</v>
      </c>
      <c r="C842" s="3" t="s">
        <v>7627</v>
      </c>
      <c r="D842" s="2" t="s">
        <v>7628</v>
      </c>
      <c r="F842" s="2" t="s">
        <v>30</v>
      </c>
      <c r="G842" s="2" t="s">
        <v>31</v>
      </c>
      <c r="H842" s="2" t="s">
        <v>32</v>
      </c>
      <c r="K842" s="2" t="s">
        <v>7629</v>
      </c>
      <c r="L842" s="3" t="s">
        <v>7630</v>
      </c>
      <c r="M842" s="2" t="s">
        <v>7631</v>
      </c>
      <c r="O842" s="2" t="s">
        <v>7632</v>
      </c>
      <c r="P842" s="2" t="s">
        <v>37</v>
      </c>
      <c r="Q842" s="2" t="s">
        <v>7633</v>
      </c>
      <c r="R842" s="2" t="s">
        <v>7634</v>
      </c>
      <c r="T842" s="2" t="s">
        <v>697</v>
      </c>
      <c r="X842" s="2" t="n">
        <v>10734</v>
      </c>
      <c r="Y842" s="2" t="s">
        <v>678</v>
      </c>
      <c r="Z842" s="3" t="s">
        <v>7635</v>
      </c>
    </row>
    <row r="843" customFormat="false" ht="13.8" hidden="false" customHeight="false" outlineLevel="0" collapsed="false">
      <c r="A843" s="0" t="str">
        <f aca="false">CONCATENATE("__import__.res_partner_",C843)</f>
        <v>__import__.res_partner_20000010735</v>
      </c>
      <c r="B843" s="2" t="s">
        <v>7636</v>
      </c>
      <c r="C843" s="3" t="s">
        <v>7637</v>
      </c>
      <c r="D843" s="2" t="s">
        <v>7638</v>
      </c>
      <c r="F843" s="2" t="s">
        <v>30</v>
      </c>
      <c r="G843" s="2" t="s">
        <v>31</v>
      </c>
      <c r="H843" s="2" t="s">
        <v>32</v>
      </c>
      <c r="K843" s="2" t="s">
        <v>7639</v>
      </c>
      <c r="L843" s="3" t="s">
        <v>7640</v>
      </c>
      <c r="M843" s="2" t="s">
        <v>7641</v>
      </c>
      <c r="O843" s="2" t="s">
        <v>7642</v>
      </c>
      <c r="P843" s="2" t="s">
        <v>2404</v>
      </c>
      <c r="T843" s="2" t="s">
        <v>697</v>
      </c>
      <c r="X843" s="2" t="n">
        <v>10735</v>
      </c>
      <c r="Y843" s="2" t="s">
        <v>678</v>
      </c>
      <c r="Z843" s="3" t="s">
        <v>7643</v>
      </c>
    </row>
    <row r="844" customFormat="false" ht="13.8" hidden="false" customHeight="false" outlineLevel="0" collapsed="false">
      <c r="A844" s="0" t="str">
        <f aca="false">CONCATENATE("__import__.res_partner_",C844)</f>
        <v>__import__.res_partner_20000010736</v>
      </c>
      <c r="B844" s="2" t="s">
        <v>7644</v>
      </c>
      <c r="C844" s="3" t="s">
        <v>7645</v>
      </c>
      <c r="D844" s="2" t="s">
        <v>7646</v>
      </c>
      <c r="F844" s="2" t="s">
        <v>30</v>
      </c>
      <c r="G844" s="2" t="s">
        <v>31</v>
      </c>
      <c r="H844" s="2" t="s">
        <v>32</v>
      </c>
      <c r="K844" s="2" t="s">
        <v>7647</v>
      </c>
      <c r="L844" s="3" t="s">
        <v>7648</v>
      </c>
      <c r="M844" s="2" t="s">
        <v>7649</v>
      </c>
      <c r="O844" s="2" t="s">
        <v>7650</v>
      </c>
      <c r="P844" s="2" t="s">
        <v>1162</v>
      </c>
      <c r="Q844" s="2" t="s">
        <v>326</v>
      </c>
      <c r="R844" s="2" t="s">
        <v>1648</v>
      </c>
      <c r="T844" s="2" t="s">
        <v>40</v>
      </c>
      <c r="X844" s="2" t="n">
        <v>10736</v>
      </c>
      <c r="Y844" s="2" t="s">
        <v>678</v>
      </c>
      <c r="Z844" s="3" t="s">
        <v>7651</v>
      </c>
    </row>
    <row r="845" customFormat="false" ht="61.15" hidden="false" customHeight="false" outlineLevel="0" collapsed="false">
      <c r="A845" s="0" t="str">
        <f aca="false">CONCATENATE("__import__.res_partner_",C845)</f>
        <v>__import__.res_partner_20000010738</v>
      </c>
      <c r="B845" s="2" t="s">
        <v>7652</v>
      </c>
      <c r="C845" s="3" t="s">
        <v>7653</v>
      </c>
      <c r="D845" s="2" t="s">
        <v>7654</v>
      </c>
      <c r="F845" s="2" t="s">
        <v>30</v>
      </c>
      <c r="G845" s="2" t="s">
        <v>31</v>
      </c>
      <c r="H845" s="2" t="s">
        <v>32</v>
      </c>
      <c r="K845" s="2" t="s">
        <v>7655</v>
      </c>
      <c r="L845" s="3" t="s">
        <v>2243</v>
      </c>
      <c r="M845" s="2" t="s">
        <v>7656</v>
      </c>
      <c r="O845" s="2" t="s">
        <v>7657</v>
      </c>
      <c r="P845" s="2" t="s">
        <v>37</v>
      </c>
      <c r="Q845" s="2" t="s">
        <v>7658</v>
      </c>
      <c r="R845" s="2" t="s">
        <v>7659</v>
      </c>
      <c r="T845" s="2" t="s">
        <v>40</v>
      </c>
      <c r="X845" s="2" t="n">
        <v>10738</v>
      </c>
      <c r="Y845" s="2" t="s">
        <v>7660</v>
      </c>
      <c r="Z845" s="3" t="s">
        <v>7661</v>
      </c>
      <c r="AA845" s="4" t="s">
        <v>7662</v>
      </c>
    </row>
    <row r="846" customFormat="false" ht="13.8" hidden="false" customHeight="false" outlineLevel="0" collapsed="false">
      <c r="A846" s="0" t="str">
        <f aca="false">CONCATENATE("__import__.res_partner_",C846)</f>
        <v>__import__.res_partner_20000010739</v>
      </c>
      <c r="B846" s="2" t="s">
        <v>7663</v>
      </c>
      <c r="C846" s="3" t="s">
        <v>7664</v>
      </c>
      <c r="D846" s="2" t="s">
        <v>7665</v>
      </c>
      <c r="F846" s="3" t="s">
        <v>557</v>
      </c>
      <c r="G846" s="2" t="s">
        <v>31</v>
      </c>
      <c r="H846" s="2" t="s">
        <v>32</v>
      </c>
      <c r="K846" s="2" t="s">
        <v>7666</v>
      </c>
      <c r="L846" s="3" t="s">
        <v>7667</v>
      </c>
      <c r="M846" s="2" t="s">
        <v>7668</v>
      </c>
      <c r="O846" s="2" t="s">
        <v>7669</v>
      </c>
      <c r="P846" s="2" t="s">
        <v>37</v>
      </c>
      <c r="R846" s="3" t="s">
        <v>7670</v>
      </c>
      <c r="T846" s="2" t="s">
        <v>697</v>
      </c>
      <c r="V846" s="2" t="s">
        <v>3142</v>
      </c>
      <c r="W846" s="2" t="s">
        <v>7671</v>
      </c>
      <c r="X846" s="2" t="n">
        <v>10739</v>
      </c>
      <c r="Y846" s="2" t="s">
        <v>7672</v>
      </c>
      <c r="Z846" s="3" t="s">
        <v>7673</v>
      </c>
    </row>
    <row r="847" customFormat="false" ht="13.8" hidden="false" customHeight="false" outlineLevel="0" collapsed="false">
      <c r="A847" s="0" t="str">
        <f aca="false">CONCATENATE("__import__.res_partner_",C847)</f>
        <v>__import__.res_partner_20000010740</v>
      </c>
      <c r="B847" s="2" t="s">
        <v>7674</v>
      </c>
      <c r="C847" s="3" t="s">
        <v>7675</v>
      </c>
      <c r="D847" s="2" t="s">
        <v>7676</v>
      </c>
      <c r="F847" s="2" t="s">
        <v>30</v>
      </c>
      <c r="G847" s="2" t="s">
        <v>31</v>
      </c>
      <c r="H847" s="2" t="s">
        <v>32</v>
      </c>
      <c r="K847" s="2" t="s">
        <v>7677</v>
      </c>
      <c r="L847" s="3" t="s">
        <v>4203</v>
      </c>
      <c r="M847" s="2" t="s">
        <v>7678</v>
      </c>
      <c r="O847" s="2" t="s">
        <v>2754</v>
      </c>
      <c r="P847" s="2" t="s">
        <v>37</v>
      </c>
      <c r="Q847" s="2" t="s">
        <v>7679</v>
      </c>
      <c r="R847" s="2" t="s">
        <v>7680</v>
      </c>
      <c r="T847" s="2" t="s">
        <v>108</v>
      </c>
      <c r="X847" s="2" t="n">
        <v>10740</v>
      </c>
      <c r="Y847" s="2" t="s">
        <v>7681</v>
      </c>
      <c r="Z847" s="3" t="s">
        <v>7682</v>
      </c>
    </row>
    <row r="848" customFormat="false" ht="13.8" hidden="false" customHeight="false" outlineLevel="0" collapsed="false">
      <c r="A848" s="0" t="str">
        <f aca="false">CONCATENATE("__import__.res_partner_",C848)</f>
        <v>__import__.res_partner_20000010741</v>
      </c>
      <c r="B848" s="2" t="s">
        <v>7683</v>
      </c>
      <c r="C848" s="3" t="s">
        <v>7684</v>
      </c>
      <c r="D848" s="2" t="s">
        <v>7685</v>
      </c>
      <c r="F848" s="3" t="s">
        <v>557</v>
      </c>
      <c r="G848" s="2" t="s">
        <v>31</v>
      </c>
      <c r="H848" s="2" t="s">
        <v>32</v>
      </c>
      <c r="K848" s="2" t="s">
        <v>7686</v>
      </c>
      <c r="L848" s="3" t="s">
        <v>7229</v>
      </c>
      <c r="M848" s="2" t="s">
        <v>7687</v>
      </c>
      <c r="O848" s="2" t="s">
        <v>7231</v>
      </c>
      <c r="P848" s="2" t="s">
        <v>37</v>
      </c>
      <c r="Q848" s="2" t="s">
        <v>7688</v>
      </c>
      <c r="R848" s="2" t="s">
        <v>7689</v>
      </c>
      <c r="T848" s="2" t="s">
        <v>697</v>
      </c>
      <c r="X848" s="2" t="n">
        <v>10741</v>
      </c>
      <c r="Y848" s="2" t="s">
        <v>7690</v>
      </c>
      <c r="Z848" s="3" t="s">
        <v>7691</v>
      </c>
    </row>
    <row r="849" customFormat="false" ht="13.8" hidden="false" customHeight="false" outlineLevel="0" collapsed="false">
      <c r="A849" s="0" t="str">
        <f aca="false">CONCATENATE("__import__.res_partner_",C849)</f>
        <v>__import__.res_partner_20000010742</v>
      </c>
      <c r="B849" s="2" t="s">
        <v>7692</v>
      </c>
      <c r="C849" s="3" t="s">
        <v>7693</v>
      </c>
      <c r="D849" s="2" t="s">
        <v>7694</v>
      </c>
      <c r="F849" s="2" t="s">
        <v>30</v>
      </c>
      <c r="G849" s="2" t="s">
        <v>1664</v>
      </c>
      <c r="H849" s="2" t="s">
        <v>32</v>
      </c>
      <c r="K849" s="2" t="s">
        <v>7695</v>
      </c>
      <c r="L849" s="3" t="s">
        <v>7696</v>
      </c>
      <c r="M849" s="2" t="s">
        <v>7697</v>
      </c>
      <c r="O849" s="2" t="s">
        <v>7698</v>
      </c>
      <c r="P849" s="2" t="s">
        <v>37</v>
      </c>
      <c r="Q849" s="2" t="s">
        <v>7699</v>
      </c>
      <c r="R849" s="3" t="s">
        <v>7700</v>
      </c>
      <c r="T849" s="2" t="s">
        <v>697</v>
      </c>
      <c r="X849" s="2" t="n">
        <v>10742</v>
      </c>
      <c r="Y849" s="2" t="s">
        <v>7701</v>
      </c>
      <c r="Z849" s="3" t="s">
        <v>7702</v>
      </c>
    </row>
    <row r="850" customFormat="false" ht="13.8" hidden="false" customHeight="false" outlineLevel="0" collapsed="false">
      <c r="A850" s="0" t="str">
        <f aca="false">CONCATENATE("__import__.res_partner_",C850)</f>
        <v>__import__.res_partner_20000010743</v>
      </c>
      <c r="B850" s="2" t="s">
        <v>7703</v>
      </c>
      <c r="C850" s="3" t="s">
        <v>7704</v>
      </c>
      <c r="D850" s="2" t="s">
        <v>7705</v>
      </c>
      <c r="F850" s="2" t="s">
        <v>30</v>
      </c>
      <c r="G850" s="2" t="s">
        <v>1664</v>
      </c>
      <c r="H850" s="2" t="s">
        <v>32</v>
      </c>
      <c r="K850" s="2" t="s">
        <v>7706</v>
      </c>
      <c r="L850" s="3" t="s">
        <v>6840</v>
      </c>
      <c r="M850" s="2" t="s">
        <v>7707</v>
      </c>
      <c r="O850" s="2" t="s">
        <v>6842</v>
      </c>
      <c r="P850" s="2" t="s">
        <v>37</v>
      </c>
      <c r="R850" s="3" t="s">
        <v>7708</v>
      </c>
      <c r="T850" s="2" t="s">
        <v>697</v>
      </c>
      <c r="X850" s="2" t="n">
        <v>10743</v>
      </c>
      <c r="Y850" s="2" t="s">
        <v>7709</v>
      </c>
      <c r="Z850" s="3" t="s">
        <v>7710</v>
      </c>
    </row>
    <row r="851" customFormat="false" ht="13.8" hidden="false" customHeight="false" outlineLevel="0" collapsed="false">
      <c r="A851" s="0" t="str">
        <f aca="false">CONCATENATE("__import__.res_partner_",C851)</f>
        <v>__import__.res_partner_20000010744</v>
      </c>
      <c r="B851" s="2" t="s">
        <v>7711</v>
      </c>
      <c r="C851" s="3" t="s">
        <v>7712</v>
      </c>
      <c r="D851" s="2" t="s">
        <v>7713</v>
      </c>
      <c r="F851" s="2" t="s">
        <v>30</v>
      </c>
      <c r="G851" s="2" t="s">
        <v>1664</v>
      </c>
      <c r="H851" s="2" t="s">
        <v>32</v>
      </c>
      <c r="K851" s="2" t="s">
        <v>7714</v>
      </c>
      <c r="L851" s="3" t="s">
        <v>480</v>
      </c>
      <c r="M851" s="2" t="s">
        <v>7715</v>
      </c>
      <c r="O851" s="2" t="s">
        <v>49</v>
      </c>
      <c r="P851" s="2" t="s">
        <v>675</v>
      </c>
      <c r="T851" s="2" t="s">
        <v>76</v>
      </c>
      <c r="X851" s="2" t="n">
        <v>10744</v>
      </c>
      <c r="Y851" s="2" t="s">
        <v>7716</v>
      </c>
      <c r="Z851" s="3" t="s">
        <v>7717</v>
      </c>
    </row>
    <row r="852" customFormat="false" ht="13.8" hidden="false" customHeight="false" outlineLevel="0" collapsed="false">
      <c r="A852" s="0" t="str">
        <f aca="false">CONCATENATE("__import__.res_partner_",C852)</f>
        <v>__import__.res_partner_20000010753</v>
      </c>
      <c r="B852" s="2" t="s">
        <v>7718</v>
      </c>
      <c r="C852" s="3" t="s">
        <v>7719</v>
      </c>
      <c r="D852" s="2" t="s">
        <v>7720</v>
      </c>
      <c r="F852" s="3" t="s">
        <v>557</v>
      </c>
      <c r="G852" s="2" t="s">
        <v>31</v>
      </c>
      <c r="H852" s="2" t="s">
        <v>32</v>
      </c>
      <c r="K852" s="2" t="s">
        <v>7721</v>
      </c>
      <c r="L852" s="3" t="s">
        <v>2771</v>
      </c>
      <c r="M852" s="2" t="s">
        <v>7722</v>
      </c>
      <c r="O852" s="2" t="s">
        <v>2754</v>
      </c>
      <c r="P852" s="2" t="s">
        <v>37</v>
      </c>
      <c r="Q852" s="2" t="s">
        <v>7723</v>
      </c>
      <c r="R852" s="2" t="s">
        <v>7724</v>
      </c>
      <c r="T852" s="2" t="s">
        <v>697</v>
      </c>
      <c r="X852" s="2" t="n">
        <v>10753</v>
      </c>
      <c r="Y852" s="2" t="s">
        <v>7725</v>
      </c>
      <c r="Z852" s="3" t="s">
        <v>7726</v>
      </c>
    </row>
    <row r="853" customFormat="false" ht="13.8" hidden="false" customHeight="false" outlineLevel="0" collapsed="false">
      <c r="A853" s="0" t="str">
        <f aca="false">CONCATENATE("__import__.res_partner_",C853)</f>
        <v>__import__.res_partner_20000010754</v>
      </c>
      <c r="B853" s="2" t="s">
        <v>7727</v>
      </c>
      <c r="C853" s="3" t="s">
        <v>7728</v>
      </c>
      <c r="D853" s="2" t="s">
        <v>7729</v>
      </c>
      <c r="F853" s="2" t="s">
        <v>30</v>
      </c>
      <c r="G853" s="2" t="s">
        <v>31</v>
      </c>
      <c r="H853" s="2" t="s">
        <v>32</v>
      </c>
      <c r="K853" s="2" t="s">
        <v>7730</v>
      </c>
      <c r="L853" s="3" t="s">
        <v>7731</v>
      </c>
      <c r="M853" s="2" t="s">
        <v>7732</v>
      </c>
      <c r="O853" s="2" t="s">
        <v>7733</v>
      </c>
      <c r="P853" s="2" t="s">
        <v>37</v>
      </c>
      <c r="T853" s="2" t="s">
        <v>697</v>
      </c>
      <c r="X853" s="2" t="n">
        <v>10754</v>
      </c>
      <c r="Y853" s="2" t="s">
        <v>678</v>
      </c>
      <c r="Z853" s="3" t="s">
        <v>7734</v>
      </c>
    </row>
    <row r="854" customFormat="false" ht="13.8" hidden="false" customHeight="false" outlineLevel="0" collapsed="false">
      <c r="A854" s="0" t="str">
        <f aca="false">CONCATENATE("__import__.res_partner_",C854)</f>
        <v>__import__.res_partner_20000010755</v>
      </c>
      <c r="B854" s="2" t="s">
        <v>7735</v>
      </c>
      <c r="C854" s="3" t="s">
        <v>7736</v>
      </c>
      <c r="D854" s="2" t="s">
        <v>7737</v>
      </c>
      <c r="F854" s="2" t="s">
        <v>30</v>
      </c>
      <c r="G854" s="2" t="s">
        <v>31</v>
      </c>
      <c r="H854" s="2" t="s">
        <v>32</v>
      </c>
      <c r="K854" s="2" t="s">
        <v>7738</v>
      </c>
      <c r="L854" s="3" t="s">
        <v>7739</v>
      </c>
      <c r="M854" s="2" t="s">
        <v>7740</v>
      </c>
      <c r="O854" s="2" t="s">
        <v>7741</v>
      </c>
      <c r="P854" s="2" t="s">
        <v>37</v>
      </c>
      <c r="Q854" s="2" t="s">
        <v>7742</v>
      </c>
      <c r="R854" s="2" t="s">
        <v>7743</v>
      </c>
      <c r="T854" s="2" t="s">
        <v>697</v>
      </c>
      <c r="X854" s="2" t="n">
        <v>10755</v>
      </c>
      <c r="Y854" s="2" t="s">
        <v>7744</v>
      </c>
      <c r="Z854" s="3" t="s">
        <v>7745</v>
      </c>
    </row>
    <row r="855" customFormat="false" ht="13.8" hidden="false" customHeight="false" outlineLevel="0" collapsed="false">
      <c r="A855" s="0" t="str">
        <f aca="false">CONCATENATE("__import__.res_partner_",C855)</f>
        <v>__import__.res_partner_20000010756</v>
      </c>
      <c r="B855" s="2" t="s">
        <v>7746</v>
      </c>
      <c r="C855" s="3" t="s">
        <v>7747</v>
      </c>
      <c r="D855" s="2" t="s">
        <v>7748</v>
      </c>
      <c r="F855" s="2" t="s">
        <v>30</v>
      </c>
      <c r="G855" s="2" t="s">
        <v>31</v>
      </c>
      <c r="H855" s="2" t="s">
        <v>32</v>
      </c>
      <c r="K855" s="2" t="s">
        <v>7749</v>
      </c>
      <c r="L855" s="3" t="s">
        <v>7750</v>
      </c>
      <c r="M855" s="2" t="s">
        <v>7751</v>
      </c>
      <c r="O855" s="2" t="s">
        <v>7752</v>
      </c>
      <c r="P855" s="2" t="s">
        <v>37</v>
      </c>
      <c r="Q855" s="2" t="s">
        <v>38</v>
      </c>
      <c r="R855" s="3" t="s">
        <v>7753</v>
      </c>
      <c r="T855" s="2" t="s">
        <v>697</v>
      </c>
      <c r="X855" s="2" t="n">
        <v>10756</v>
      </c>
      <c r="Y855" s="2" t="s">
        <v>7754</v>
      </c>
      <c r="Z855" s="3" t="s">
        <v>7755</v>
      </c>
    </row>
    <row r="856" customFormat="false" ht="13.8" hidden="false" customHeight="false" outlineLevel="0" collapsed="false">
      <c r="A856" s="0" t="str">
        <f aca="false">CONCATENATE("__import__.res_partner_",C856)</f>
        <v>__import__.res_partner_20000010757</v>
      </c>
      <c r="B856" s="2" t="s">
        <v>7756</v>
      </c>
      <c r="C856" s="3" t="s">
        <v>7757</v>
      </c>
      <c r="D856" s="2" t="s">
        <v>7758</v>
      </c>
      <c r="F856" s="2" t="s">
        <v>30</v>
      </c>
      <c r="G856" s="2" t="s">
        <v>31</v>
      </c>
      <c r="H856" s="2" t="s">
        <v>32</v>
      </c>
      <c r="K856" s="2" t="s">
        <v>7759</v>
      </c>
      <c r="L856" s="3" t="s">
        <v>7760</v>
      </c>
      <c r="M856" s="2" t="s">
        <v>7761</v>
      </c>
      <c r="O856" s="2" t="s">
        <v>7762</v>
      </c>
      <c r="P856" s="2" t="s">
        <v>37</v>
      </c>
      <c r="T856" s="2" t="s">
        <v>697</v>
      </c>
      <c r="X856" s="2" t="n">
        <v>10757</v>
      </c>
      <c r="Y856" s="2" t="s">
        <v>678</v>
      </c>
      <c r="Z856" s="3" t="s">
        <v>7763</v>
      </c>
    </row>
    <row r="857" customFormat="false" ht="13.8" hidden="false" customHeight="false" outlineLevel="0" collapsed="false">
      <c r="A857" s="0" t="str">
        <f aca="false">CONCATENATE("__import__.res_partner_",C857)</f>
        <v>__import__.res_partner_20000010758</v>
      </c>
      <c r="B857" s="2" t="s">
        <v>7764</v>
      </c>
      <c r="C857" s="3" t="s">
        <v>7765</v>
      </c>
      <c r="D857" s="2" t="s">
        <v>7766</v>
      </c>
      <c r="F857" s="2" t="s">
        <v>30</v>
      </c>
      <c r="G857" s="2" t="s">
        <v>31</v>
      </c>
      <c r="H857" s="2" t="s">
        <v>32</v>
      </c>
      <c r="K857" s="2" t="s">
        <v>7767</v>
      </c>
      <c r="L857" s="3" t="s">
        <v>7768</v>
      </c>
      <c r="M857" s="2" t="s">
        <v>7769</v>
      </c>
      <c r="O857" s="2" t="s">
        <v>4924</v>
      </c>
      <c r="P857" s="2" t="s">
        <v>37</v>
      </c>
      <c r="Q857" s="2" t="s">
        <v>7770</v>
      </c>
      <c r="R857" s="2" t="s">
        <v>7771</v>
      </c>
      <c r="T857" s="2" t="s">
        <v>697</v>
      </c>
      <c r="X857" s="2" t="n">
        <v>10758</v>
      </c>
      <c r="Y857" s="2" t="s">
        <v>678</v>
      </c>
      <c r="Z857" s="3" t="s">
        <v>7772</v>
      </c>
    </row>
    <row r="858" customFormat="false" ht="13.8" hidden="false" customHeight="false" outlineLevel="0" collapsed="false">
      <c r="A858" s="0" t="str">
        <f aca="false">CONCATENATE("__import__.res_partner_",C858)</f>
        <v>__import__.res_partner_20000010759</v>
      </c>
      <c r="B858" s="2" t="s">
        <v>7773</v>
      </c>
      <c r="C858" s="3" t="s">
        <v>7774</v>
      </c>
      <c r="D858" s="2" t="s">
        <v>7775</v>
      </c>
      <c r="F858" s="2" t="s">
        <v>30</v>
      </c>
      <c r="G858" s="2" t="s">
        <v>31</v>
      </c>
      <c r="H858" s="2" t="s">
        <v>32</v>
      </c>
      <c r="K858" s="2" t="s">
        <v>7776</v>
      </c>
      <c r="L858" s="3" t="s">
        <v>7777</v>
      </c>
      <c r="M858" s="2" t="s">
        <v>7778</v>
      </c>
      <c r="O858" s="2" t="s">
        <v>7779</v>
      </c>
      <c r="P858" s="2" t="s">
        <v>37</v>
      </c>
      <c r="T858" s="2" t="s">
        <v>697</v>
      </c>
      <c r="X858" s="2" t="n">
        <v>10759</v>
      </c>
      <c r="Y858" s="2" t="s">
        <v>678</v>
      </c>
      <c r="Z858" s="3" t="s">
        <v>7780</v>
      </c>
    </row>
    <row r="859" customFormat="false" ht="13.8" hidden="false" customHeight="false" outlineLevel="0" collapsed="false">
      <c r="A859" s="0" t="str">
        <f aca="false">CONCATENATE("__import__.res_partner_",C859)</f>
        <v>__import__.res_partner_20000010760</v>
      </c>
      <c r="B859" s="2" t="s">
        <v>7781</v>
      </c>
      <c r="C859" s="3" t="s">
        <v>7782</v>
      </c>
      <c r="D859" s="2" t="s">
        <v>7783</v>
      </c>
      <c r="F859" s="2" t="s">
        <v>30</v>
      </c>
      <c r="G859" s="2" t="s">
        <v>31</v>
      </c>
      <c r="H859" s="2" t="s">
        <v>32</v>
      </c>
      <c r="K859" s="2" t="s">
        <v>7784</v>
      </c>
      <c r="L859" s="3" t="s">
        <v>5815</v>
      </c>
      <c r="M859" s="2" t="s">
        <v>7785</v>
      </c>
      <c r="O859" s="2" t="s">
        <v>4143</v>
      </c>
      <c r="P859" s="2" t="s">
        <v>37</v>
      </c>
      <c r="Q859" s="2" t="s">
        <v>7786</v>
      </c>
      <c r="R859" s="2" t="s">
        <v>7787</v>
      </c>
      <c r="T859" s="2" t="s">
        <v>697</v>
      </c>
      <c r="X859" s="2" t="n">
        <v>10760</v>
      </c>
      <c r="Y859" s="2" t="s">
        <v>7788</v>
      </c>
      <c r="Z859" s="3" t="s">
        <v>7789</v>
      </c>
    </row>
    <row r="860" customFormat="false" ht="13.8" hidden="false" customHeight="false" outlineLevel="0" collapsed="false">
      <c r="A860" s="0" t="str">
        <f aca="false">CONCATENATE("__import__.res_partner_",C860)</f>
        <v>__import__.res_partner_20000010761</v>
      </c>
      <c r="B860" s="2" t="s">
        <v>7790</v>
      </c>
      <c r="C860" s="3" t="s">
        <v>7791</v>
      </c>
      <c r="D860" s="2" t="s">
        <v>7792</v>
      </c>
      <c r="F860" s="2" t="s">
        <v>30</v>
      </c>
      <c r="G860" s="2" t="s">
        <v>1664</v>
      </c>
      <c r="H860" s="2" t="s">
        <v>32</v>
      </c>
      <c r="K860" s="2" t="s">
        <v>7793</v>
      </c>
      <c r="L860" s="3" t="s">
        <v>3257</v>
      </c>
      <c r="M860" s="2" t="s">
        <v>7794</v>
      </c>
      <c r="O860" s="2" t="s">
        <v>2881</v>
      </c>
      <c r="P860" s="2" t="s">
        <v>37</v>
      </c>
      <c r="R860" s="2" t="s">
        <v>7795</v>
      </c>
      <c r="T860" s="2" t="s">
        <v>697</v>
      </c>
      <c r="X860" s="2" t="n">
        <v>10761</v>
      </c>
      <c r="Y860" s="2" t="s">
        <v>7796</v>
      </c>
      <c r="Z860" s="3" t="s">
        <v>7797</v>
      </c>
    </row>
    <row r="861" customFormat="false" ht="13.8" hidden="false" customHeight="false" outlineLevel="0" collapsed="false">
      <c r="A861" s="0" t="str">
        <f aca="false">CONCATENATE("__import__.res_partner_",C861)</f>
        <v>__import__.res_partner_20000010762</v>
      </c>
      <c r="B861" s="2" t="s">
        <v>7798</v>
      </c>
      <c r="C861" s="3" t="s">
        <v>7799</v>
      </c>
      <c r="D861" s="2" t="s">
        <v>7800</v>
      </c>
      <c r="F861" s="2" t="s">
        <v>30</v>
      </c>
      <c r="G861" s="2" t="s">
        <v>31</v>
      </c>
      <c r="H861" s="2" t="s">
        <v>32</v>
      </c>
      <c r="K861" s="2" t="s">
        <v>7801</v>
      </c>
      <c r="L861" s="3" t="s">
        <v>7802</v>
      </c>
      <c r="M861" s="2" t="s">
        <v>7803</v>
      </c>
      <c r="O861" s="2" t="s">
        <v>7804</v>
      </c>
      <c r="P861" s="2" t="s">
        <v>37</v>
      </c>
      <c r="R861" s="2" t="s">
        <v>7805</v>
      </c>
      <c r="T861" s="2" t="s">
        <v>697</v>
      </c>
      <c r="X861" s="2" t="n">
        <v>10762</v>
      </c>
      <c r="Y861" s="2" t="s">
        <v>7806</v>
      </c>
      <c r="Z861" s="3" t="s">
        <v>7807</v>
      </c>
    </row>
    <row r="862" customFormat="false" ht="13.8" hidden="false" customHeight="false" outlineLevel="0" collapsed="false">
      <c r="A862" s="0" t="str">
        <f aca="false">CONCATENATE("__import__.res_partner_",C862)</f>
        <v>__import__.res_partner_20000010764</v>
      </c>
      <c r="B862" s="2" t="s">
        <v>7808</v>
      </c>
      <c r="C862" s="3" t="s">
        <v>7809</v>
      </c>
      <c r="D862" s="2" t="s">
        <v>7810</v>
      </c>
      <c r="F862" s="2" t="s">
        <v>30</v>
      </c>
      <c r="G862" s="2" t="s">
        <v>31</v>
      </c>
      <c r="H862" s="2" t="s">
        <v>32</v>
      </c>
      <c r="K862" s="2" t="s">
        <v>7811</v>
      </c>
      <c r="L862" s="3" t="s">
        <v>7812</v>
      </c>
      <c r="M862" s="2" t="s">
        <v>7813</v>
      </c>
      <c r="O862" s="2" t="s">
        <v>3833</v>
      </c>
      <c r="P862" s="2" t="s">
        <v>37</v>
      </c>
      <c r="Q862" s="2" t="s">
        <v>7814</v>
      </c>
      <c r="R862" s="2" t="s">
        <v>7815</v>
      </c>
      <c r="T862" s="2" t="s">
        <v>697</v>
      </c>
      <c r="X862" s="2" t="n">
        <v>10764</v>
      </c>
      <c r="Y862" s="2" t="s">
        <v>678</v>
      </c>
      <c r="Z862" s="3" t="s">
        <v>7816</v>
      </c>
    </row>
    <row r="863" customFormat="false" ht="13.8" hidden="false" customHeight="false" outlineLevel="0" collapsed="false">
      <c r="A863" s="0" t="str">
        <f aca="false">CONCATENATE("__import__.res_partner_",C863)</f>
        <v>__import__.res_partner_20000010765</v>
      </c>
      <c r="B863" s="2" t="s">
        <v>7817</v>
      </c>
      <c r="C863" s="3" t="s">
        <v>7818</v>
      </c>
      <c r="D863" s="2" t="s">
        <v>7819</v>
      </c>
      <c r="F863" s="2" t="s">
        <v>30</v>
      </c>
      <c r="G863" s="2" t="s">
        <v>31</v>
      </c>
      <c r="H863" s="2" t="s">
        <v>32</v>
      </c>
      <c r="K863" s="2" t="s">
        <v>7820</v>
      </c>
      <c r="L863" s="3" t="s">
        <v>1452</v>
      </c>
      <c r="M863" s="2" t="s">
        <v>7821</v>
      </c>
      <c r="O863" s="2" t="s">
        <v>49</v>
      </c>
      <c r="P863" s="2" t="s">
        <v>37</v>
      </c>
      <c r="R863" s="2" t="s">
        <v>7822</v>
      </c>
      <c r="T863" s="2" t="s">
        <v>697</v>
      </c>
      <c r="X863" s="2" t="n">
        <v>10765</v>
      </c>
      <c r="Y863" s="2" t="s">
        <v>7823</v>
      </c>
      <c r="Z863" s="3" t="s">
        <v>7824</v>
      </c>
    </row>
    <row r="864" customFormat="false" ht="13.8" hidden="false" customHeight="false" outlineLevel="0" collapsed="false">
      <c r="A864" s="0" t="str">
        <f aca="false">CONCATENATE("__import__.res_partner_",C864)</f>
        <v>__import__.res_partner_20000010767</v>
      </c>
      <c r="B864" s="2" t="s">
        <v>7825</v>
      </c>
      <c r="C864" s="3" t="s">
        <v>7826</v>
      </c>
      <c r="D864" s="2" t="s">
        <v>7827</v>
      </c>
      <c r="F864" s="2" t="s">
        <v>30</v>
      </c>
      <c r="G864" s="2" t="s">
        <v>31</v>
      </c>
      <c r="H864" s="2" t="s">
        <v>32</v>
      </c>
      <c r="K864" s="2" t="s">
        <v>7828</v>
      </c>
      <c r="L864" s="3" t="s">
        <v>7395</v>
      </c>
      <c r="M864" s="2" t="s">
        <v>7829</v>
      </c>
      <c r="O864" s="2" t="s">
        <v>1556</v>
      </c>
      <c r="P864" s="2" t="s">
        <v>37</v>
      </c>
      <c r="Q864" s="2" t="s">
        <v>7830</v>
      </c>
      <c r="T864" s="2" t="s">
        <v>697</v>
      </c>
      <c r="X864" s="2" t="n">
        <v>10767</v>
      </c>
      <c r="Y864" s="2" t="s">
        <v>678</v>
      </c>
      <c r="Z864" s="3" t="s">
        <v>7831</v>
      </c>
    </row>
    <row r="865" customFormat="false" ht="13.8" hidden="false" customHeight="false" outlineLevel="0" collapsed="false">
      <c r="A865" s="0" t="str">
        <f aca="false">CONCATENATE("__import__.res_partner_",C865)</f>
        <v>__import__.res_partner_20000010768</v>
      </c>
      <c r="B865" s="2" t="s">
        <v>7832</v>
      </c>
      <c r="C865" s="3" t="s">
        <v>7833</v>
      </c>
      <c r="D865" s="2" t="s">
        <v>7834</v>
      </c>
      <c r="F865" s="2" t="s">
        <v>30</v>
      </c>
      <c r="G865" s="2" t="s">
        <v>31</v>
      </c>
      <c r="H865" s="2" t="s">
        <v>32</v>
      </c>
      <c r="K865" s="2" t="s">
        <v>7835</v>
      </c>
      <c r="L865" s="3" t="s">
        <v>7836</v>
      </c>
      <c r="M865" s="2" t="s">
        <v>7837</v>
      </c>
      <c r="O865" s="2" t="s">
        <v>7838</v>
      </c>
      <c r="P865" s="2" t="s">
        <v>7839</v>
      </c>
      <c r="T865" s="2" t="s">
        <v>5567</v>
      </c>
      <c r="X865" s="2" t="n">
        <v>10768</v>
      </c>
      <c r="Y865" s="2" t="s">
        <v>7834</v>
      </c>
      <c r="Z865" s="3" t="s">
        <v>7840</v>
      </c>
    </row>
    <row r="866" customFormat="false" ht="13.8" hidden="false" customHeight="false" outlineLevel="0" collapsed="false">
      <c r="A866" s="0" t="str">
        <f aca="false">CONCATENATE("__import__.res_partner_",C866)</f>
        <v>__import__.res_partner_20000010769</v>
      </c>
      <c r="B866" s="2" t="s">
        <v>7841</v>
      </c>
      <c r="C866" s="3" t="s">
        <v>7842</v>
      </c>
      <c r="D866" s="2" t="s">
        <v>7843</v>
      </c>
      <c r="F866" s="2" t="s">
        <v>30</v>
      </c>
      <c r="G866" s="2" t="s">
        <v>31</v>
      </c>
      <c r="H866" s="2" t="s">
        <v>32</v>
      </c>
      <c r="K866" s="2" t="s">
        <v>7844</v>
      </c>
      <c r="L866" s="3" t="s">
        <v>7845</v>
      </c>
      <c r="M866" s="2" t="s">
        <v>7846</v>
      </c>
      <c r="O866" s="2" t="s">
        <v>7847</v>
      </c>
      <c r="P866" s="2" t="s">
        <v>37</v>
      </c>
      <c r="Q866" s="2" t="s">
        <v>7848</v>
      </c>
      <c r="R866" s="2" t="s">
        <v>7849</v>
      </c>
      <c r="T866" s="2" t="s">
        <v>108</v>
      </c>
      <c r="X866" s="2" t="n">
        <v>10769</v>
      </c>
      <c r="Y866" s="2" t="s">
        <v>7850</v>
      </c>
      <c r="Z866" s="3" t="s">
        <v>7851</v>
      </c>
    </row>
    <row r="867" customFormat="false" ht="13.8" hidden="false" customHeight="false" outlineLevel="0" collapsed="false">
      <c r="A867" s="0" t="str">
        <f aca="false">CONCATENATE("__import__.res_partner_",C867)</f>
        <v>__import__.res_partner_20000010770</v>
      </c>
      <c r="B867" s="2" t="s">
        <v>7852</v>
      </c>
      <c r="C867" s="3" t="s">
        <v>7853</v>
      </c>
      <c r="D867" s="2" t="s">
        <v>7854</v>
      </c>
      <c r="F867" s="2" t="s">
        <v>30</v>
      </c>
      <c r="G867" s="2" t="s">
        <v>31</v>
      </c>
      <c r="H867" s="2" t="s">
        <v>32</v>
      </c>
      <c r="K867" s="2" t="s">
        <v>7855</v>
      </c>
      <c r="L867" s="3" t="s">
        <v>2366</v>
      </c>
      <c r="M867" s="2" t="s">
        <v>7856</v>
      </c>
      <c r="O867" s="2" t="s">
        <v>7857</v>
      </c>
      <c r="P867" s="2" t="s">
        <v>37</v>
      </c>
      <c r="Q867" s="2" t="s">
        <v>7858</v>
      </c>
      <c r="T867" s="2" t="s">
        <v>40</v>
      </c>
      <c r="X867" s="2" t="n">
        <v>10770</v>
      </c>
      <c r="Y867" s="2" t="s">
        <v>7859</v>
      </c>
      <c r="Z867" s="3" t="s">
        <v>7860</v>
      </c>
    </row>
    <row r="868" customFormat="false" ht="13.8" hidden="false" customHeight="false" outlineLevel="0" collapsed="false">
      <c r="A868" s="0" t="str">
        <f aca="false">CONCATENATE("__import__.res_partner_",C868)</f>
        <v>__import__.res_partner_20000010771</v>
      </c>
      <c r="B868" s="2" t="s">
        <v>7861</v>
      </c>
      <c r="C868" s="3" t="s">
        <v>7862</v>
      </c>
      <c r="D868" s="2" t="s">
        <v>7863</v>
      </c>
      <c r="F868" s="2" t="s">
        <v>30</v>
      </c>
      <c r="G868" s="2" t="s">
        <v>31</v>
      </c>
      <c r="H868" s="2" t="s">
        <v>32</v>
      </c>
      <c r="K868" s="2" t="s">
        <v>7864</v>
      </c>
      <c r="L868" s="3" t="s">
        <v>7865</v>
      </c>
      <c r="M868" s="2" t="s">
        <v>7866</v>
      </c>
      <c r="O868" s="2" t="s">
        <v>7867</v>
      </c>
      <c r="P868" s="2" t="s">
        <v>1162</v>
      </c>
      <c r="Q868" s="2" t="s">
        <v>7868</v>
      </c>
      <c r="R868" s="2" t="s">
        <v>7869</v>
      </c>
      <c r="T868" s="2" t="s">
        <v>5195</v>
      </c>
      <c r="X868" s="2" t="n">
        <v>10771</v>
      </c>
      <c r="Y868" s="2" t="s">
        <v>7863</v>
      </c>
      <c r="Z868" s="3" t="s">
        <v>7870</v>
      </c>
    </row>
    <row r="869" customFormat="false" ht="13.8" hidden="false" customHeight="false" outlineLevel="0" collapsed="false">
      <c r="A869" s="0" t="str">
        <f aca="false">CONCATENATE("__import__.res_partner_",C869)</f>
        <v>__import__.res_partner_20000010772</v>
      </c>
      <c r="B869" s="2" t="s">
        <v>7871</v>
      </c>
      <c r="C869" s="3" t="s">
        <v>7872</v>
      </c>
      <c r="D869" s="2" t="s">
        <v>7873</v>
      </c>
      <c r="F869" s="2" t="s">
        <v>30</v>
      </c>
      <c r="G869" s="2" t="s">
        <v>31</v>
      </c>
      <c r="H869" s="2" t="s">
        <v>32</v>
      </c>
      <c r="K869" s="2" t="s">
        <v>7874</v>
      </c>
      <c r="L869" s="3" t="s">
        <v>1628</v>
      </c>
      <c r="M869" s="2" t="s">
        <v>7875</v>
      </c>
      <c r="O869" s="2" t="s">
        <v>7876</v>
      </c>
      <c r="P869" s="2" t="s">
        <v>37</v>
      </c>
      <c r="T869" s="2" t="s">
        <v>697</v>
      </c>
      <c r="W869" s="2" t="s">
        <v>7877</v>
      </c>
      <c r="X869" s="2" t="n">
        <v>10772</v>
      </c>
      <c r="Y869" s="2" t="s">
        <v>7878</v>
      </c>
      <c r="Z869" s="3" t="s">
        <v>7879</v>
      </c>
    </row>
    <row r="870" customFormat="false" ht="13.8" hidden="false" customHeight="false" outlineLevel="0" collapsed="false">
      <c r="A870" s="0" t="str">
        <f aca="false">CONCATENATE("__import__.res_partner_",C870)</f>
        <v>__import__.res_partner_20000010773</v>
      </c>
      <c r="B870" s="2" t="s">
        <v>7880</v>
      </c>
      <c r="C870" s="3" t="s">
        <v>7881</v>
      </c>
      <c r="D870" s="2" t="s">
        <v>7882</v>
      </c>
      <c r="F870" s="3" t="s">
        <v>557</v>
      </c>
      <c r="G870" s="2" t="s">
        <v>31</v>
      </c>
      <c r="H870" s="2" t="s">
        <v>32</v>
      </c>
      <c r="K870" s="2" t="s">
        <v>7883</v>
      </c>
      <c r="L870" s="3" t="s">
        <v>7884</v>
      </c>
      <c r="M870" s="2" t="s">
        <v>7885</v>
      </c>
      <c r="O870" s="2" t="s">
        <v>7886</v>
      </c>
      <c r="P870" s="2" t="s">
        <v>37</v>
      </c>
      <c r="Q870" s="2" t="s">
        <v>7887</v>
      </c>
      <c r="R870" s="3" t="s">
        <v>7888</v>
      </c>
      <c r="T870" s="2" t="s">
        <v>697</v>
      </c>
      <c r="X870" s="2" t="n">
        <v>10773</v>
      </c>
      <c r="Y870" s="2" t="s">
        <v>7889</v>
      </c>
      <c r="Z870" s="3" t="s">
        <v>7890</v>
      </c>
    </row>
    <row r="871" customFormat="false" ht="13.8" hidden="false" customHeight="false" outlineLevel="0" collapsed="false">
      <c r="A871" s="0" t="str">
        <f aca="false">CONCATENATE("__import__.res_partner_",C871)</f>
        <v>__import__.res_partner_20000010774</v>
      </c>
      <c r="B871" s="2" t="s">
        <v>7891</v>
      </c>
      <c r="C871" s="3" t="s">
        <v>7892</v>
      </c>
      <c r="D871" s="2" t="s">
        <v>7893</v>
      </c>
      <c r="F871" s="2" t="s">
        <v>30</v>
      </c>
      <c r="G871" s="2" t="s">
        <v>31</v>
      </c>
      <c r="H871" s="2" t="s">
        <v>32</v>
      </c>
      <c r="K871" s="2" t="s">
        <v>7894</v>
      </c>
      <c r="L871" s="3" t="s">
        <v>480</v>
      </c>
      <c r="M871" s="2" t="s">
        <v>7895</v>
      </c>
      <c r="O871" s="2" t="s">
        <v>49</v>
      </c>
      <c r="P871" s="2" t="s">
        <v>37</v>
      </c>
      <c r="T871" s="2" t="s">
        <v>697</v>
      </c>
      <c r="X871" s="2" t="n">
        <v>10774</v>
      </c>
      <c r="Y871" s="2" t="s">
        <v>678</v>
      </c>
      <c r="Z871" s="3" t="s">
        <v>7896</v>
      </c>
    </row>
    <row r="872" customFormat="false" ht="13.8" hidden="false" customHeight="false" outlineLevel="0" collapsed="false">
      <c r="A872" s="0" t="str">
        <f aca="false">CONCATENATE("__import__.res_partner_",C872)</f>
        <v>__import__.res_partner_20000010775</v>
      </c>
      <c r="B872" s="2" t="s">
        <v>7897</v>
      </c>
      <c r="C872" s="3" t="s">
        <v>7898</v>
      </c>
      <c r="D872" s="2" t="s">
        <v>7899</v>
      </c>
      <c r="F872" s="2" t="s">
        <v>30</v>
      </c>
      <c r="G872" s="2" t="s">
        <v>31</v>
      </c>
      <c r="H872" s="2" t="s">
        <v>32</v>
      </c>
      <c r="K872" s="2" t="s">
        <v>7900</v>
      </c>
      <c r="L872" s="3" t="s">
        <v>7901</v>
      </c>
      <c r="M872" s="2" t="s">
        <v>7902</v>
      </c>
      <c r="O872" s="2" t="s">
        <v>7903</v>
      </c>
      <c r="P872" s="2" t="s">
        <v>7477</v>
      </c>
      <c r="Q872" s="2" t="s">
        <v>38</v>
      </c>
      <c r="T872" s="2" t="s">
        <v>697</v>
      </c>
      <c r="X872" s="2" t="n">
        <v>10775</v>
      </c>
      <c r="Y872" s="2" t="s">
        <v>7904</v>
      </c>
      <c r="Z872" s="3" t="s">
        <v>7905</v>
      </c>
    </row>
    <row r="873" customFormat="false" ht="13.8" hidden="false" customHeight="false" outlineLevel="0" collapsed="false">
      <c r="A873" s="0" t="str">
        <f aca="false">CONCATENATE("__import__.res_partner_",C873)</f>
        <v>__import__.res_partner_20000010776</v>
      </c>
      <c r="B873" s="2" t="s">
        <v>7906</v>
      </c>
      <c r="C873" s="3" t="s">
        <v>7907</v>
      </c>
      <c r="D873" s="2" t="s">
        <v>7908</v>
      </c>
      <c r="F873" s="2" t="s">
        <v>30</v>
      </c>
      <c r="G873" s="2" t="s">
        <v>1664</v>
      </c>
      <c r="H873" s="2" t="s">
        <v>32</v>
      </c>
      <c r="K873" s="2" t="s">
        <v>7909</v>
      </c>
      <c r="L873" s="3" t="s">
        <v>5126</v>
      </c>
      <c r="M873" s="2" t="s">
        <v>7910</v>
      </c>
      <c r="O873" s="2" t="s">
        <v>4002</v>
      </c>
      <c r="P873" s="2" t="s">
        <v>37</v>
      </c>
      <c r="Q873" s="2" t="s">
        <v>7911</v>
      </c>
      <c r="R873" s="2" t="s">
        <v>7912</v>
      </c>
      <c r="T873" s="2" t="s">
        <v>76</v>
      </c>
      <c r="X873" s="2" t="n">
        <v>10776</v>
      </c>
      <c r="Y873" s="2" t="s">
        <v>7908</v>
      </c>
      <c r="Z873" s="3" t="s">
        <v>7913</v>
      </c>
    </row>
    <row r="874" customFormat="false" ht="13.8" hidden="false" customHeight="false" outlineLevel="0" collapsed="false">
      <c r="A874" s="0" t="str">
        <f aca="false">CONCATENATE("__import__.res_partner_",C874)</f>
        <v>__import__.res_partner_20000010777</v>
      </c>
      <c r="B874" s="2" t="s">
        <v>7914</v>
      </c>
      <c r="C874" s="3" t="s">
        <v>7915</v>
      </c>
      <c r="D874" s="2" t="s">
        <v>7916</v>
      </c>
      <c r="F874" s="2" t="s">
        <v>30</v>
      </c>
      <c r="G874" s="2" t="s">
        <v>1664</v>
      </c>
      <c r="H874" s="2" t="s">
        <v>32</v>
      </c>
      <c r="K874" s="2" t="s">
        <v>7917</v>
      </c>
      <c r="L874" s="3" t="s">
        <v>2763</v>
      </c>
      <c r="M874" s="2" t="s">
        <v>7918</v>
      </c>
      <c r="O874" s="2" t="s">
        <v>3689</v>
      </c>
      <c r="P874" s="2" t="s">
        <v>37</v>
      </c>
      <c r="R874" s="2" t="s">
        <v>7919</v>
      </c>
      <c r="T874" s="2" t="s">
        <v>697</v>
      </c>
      <c r="X874" s="2" t="n">
        <v>10777</v>
      </c>
      <c r="Y874" s="2" t="s">
        <v>7920</v>
      </c>
      <c r="Z874" s="3" t="s">
        <v>7921</v>
      </c>
    </row>
    <row r="875" customFormat="false" ht="13.8" hidden="false" customHeight="false" outlineLevel="0" collapsed="false">
      <c r="A875" s="0" t="str">
        <f aca="false">CONCATENATE("__import__.res_partner_",C875)</f>
        <v>__import__.res_partner_20000010778</v>
      </c>
      <c r="B875" s="2" t="s">
        <v>7922</v>
      </c>
      <c r="C875" s="3" t="s">
        <v>7923</v>
      </c>
      <c r="D875" s="2" t="s">
        <v>7924</v>
      </c>
      <c r="F875" s="2" t="s">
        <v>30</v>
      </c>
      <c r="G875" s="2" t="s">
        <v>1664</v>
      </c>
      <c r="H875" s="2" t="s">
        <v>32</v>
      </c>
      <c r="K875" s="2" t="s">
        <v>7925</v>
      </c>
      <c r="L875" s="3" t="s">
        <v>2121</v>
      </c>
      <c r="M875" s="2" t="s">
        <v>7926</v>
      </c>
      <c r="O875" s="2" t="s">
        <v>7927</v>
      </c>
      <c r="P875" s="2" t="s">
        <v>37</v>
      </c>
      <c r="R875" s="2" t="s">
        <v>7928</v>
      </c>
      <c r="T875" s="2" t="s">
        <v>697</v>
      </c>
      <c r="X875" s="2" t="n">
        <v>10778</v>
      </c>
      <c r="Y875" s="2" t="s">
        <v>7929</v>
      </c>
      <c r="Z875" s="3" t="s">
        <v>7930</v>
      </c>
    </row>
    <row r="876" customFormat="false" ht="13.8" hidden="false" customHeight="false" outlineLevel="0" collapsed="false">
      <c r="A876" s="0" t="str">
        <f aca="false">CONCATENATE("__import__.res_partner_",C876)</f>
        <v>__import__.res_partner_20000010779</v>
      </c>
      <c r="B876" s="2" t="s">
        <v>7931</v>
      </c>
      <c r="C876" s="3" t="s">
        <v>7932</v>
      </c>
      <c r="D876" s="2" t="s">
        <v>7933</v>
      </c>
      <c r="F876" s="2" t="s">
        <v>30</v>
      </c>
      <c r="G876" s="2" t="s">
        <v>1664</v>
      </c>
      <c r="H876" s="2" t="s">
        <v>32</v>
      </c>
      <c r="K876" s="2" t="s">
        <v>7934</v>
      </c>
      <c r="L876" s="3" t="s">
        <v>7935</v>
      </c>
      <c r="M876" s="2" t="s">
        <v>7936</v>
      </c>
      <c r="O876" s="2" t="s">
        <v>7937</v>
      </c>
      <c r="P876" s="2" t="s">
        <v>37</v>
      </c>
      <c r="T876" s="2" t="s">
        <v>108</v>
      </c>
      <c r="X876" s="2" t="n">
        <v>10779</v>
      </c>
      <c r="Y876" s="2" t="s">
        <v>7938</v>
      </c>
      <c r="Z876" s="3" t="s">
        <v>7939</v>
      </c>
    </row>
    <row r="877" customFormat="false" ht="13.8" hidden="false" customHeight="false" outlineLevel="0" collapsed="false">
      <c r="A877" s="0" t="str">
        <f aca="false">CONCATENATE("__import__.res_partner_",C877)</f>
        <v>__import__.res_partner_20000010781</v>
      </c>
      <c r="B877" s="2" t="s">
        <v>7940</v>
      </c>
      <c r="C877" s="3" t="s">
        <v>7941</v>
      </c>
      <c r="D877" s="2" t="s">
        <v>7942</v>
      </c>
      <c r="F877" s="2" t="s">
        <v>30</v>
      </c>
      <c r="G877" s="2" t="s">
        <v>31</v>
      </c>
      <c r="H877" s="2" t="s">
        <v>32</v>
      </c>
      <c r="K877" s="2" t="s">
        <v>7943</v>
      </c>
      <c r="L877" s="3" t="s">
        <v>985</v>
      </c>
      <c r="M877" s="2" t="s">
        <v>7944</v>
      </c>
      <c r="O877" s="2" t="s">
        <v>49</v>
      </c>
      <c r="P877" s="2" t="s">
        <v>37</v>
      </c>
      <c r="Q877" s="2" t="s">
        <v>7945</v>
      </c>
      <c r="R877" s="3" t="s">
        <v>7946</v>
      </c>
      <c r="T877" s="2" t="s">
        <v>697</v>
      </c>
      <c r="W877" s="2" t="s">
        <v>7947</v>
      </c>
      <c r="X877" s="2" t="n">
        <v>10781</v>
      </c>
      <c r="Y877" s="2" t="s">
        <v>7948</v>
      </c>
      <c r="Z877" s="3" t="s">
        <v>7949</v>
      </c>
    </row>
    <row r="878" customFormat="false" ht="13.8" hidden="false" customHeight="false" outlineLevel="0" collapsed="false">
      <c r="A878" s="0" t="str">
        <f aca="false">CONCATENATE("__import__.res_partner_",C878)</f>
        <v>__import__.res_partner_20000010782</v>
      </c>
      <c r="B878" s="2" t="s">
        <v>7950</v>
      </c>
      <c r="C878" s="3" t="s">
        <v>7951</v>
      </c>
      <c r="D878" s="2" t="s">
        <v>7952</v>
      </c>
      <c r="F878" s="3" t="s">
        <v>557</v>
      </c>
      <c r="G878" s="2" t="s">
        <v>31</v>
      </c>
      <c r="H878" s="2" t="s">
        <v>32</v>
      </c>
      <c r="K878" s="2" t="s">
        <v>7953</v>
      </c>
      <c r="L878" s="3" t="s">
        <v>5690</v>
      </c>
      <c r="M878" s="2" t="s">
        <v>7954</v>
      </c>
      <c r="O878" s="2" t="s">
        <v>4002</v>
      </c>
      <c r="P878" s="2" t="s">
        <v>37</v>
      </c>
      <c r="Q878" s="2" t="s">
        <v>7955</v>
      </c>
      <c r="T878" s="2" t="s">
        <v>697</v>
      </c>
      <c r="X878" s="2" t="n">
        <v>10782</v>
      </c>
      <c r="Y878" s="2" t="s">
        <v>7956</v>
      </c>
      <c r="Z878" s="3" t="s">
        <v>7957</v>
      </c>
    </row>
    <row r="879" customFormat="false" ht="13.8" hidden="false" customHeight="false" outlineLevel="0" collapsed="false">
      <c r="A879" s="0" t="str">
        <f aca="false">CONCATENATE("__import__.res_partner_",C879)</f>
        <v>__import__.res_partner_20000010784</v>
      </c>
      <c r="B879" s="2" t="s">
        <v>7958</v>
      </c>
      <c r="C879" s="3" t="s">
        <v>7959</v>
      </c>
      <c r="D879" s="2" t="s">
        <v>7960</v>
      </c>
      <c r="F879" s="2" t="s">
        <v>30</v>
      </c>
      <c r="G879" s="2" t="s">
        <v>31</v>
      </c>
      <c r="H879" s="2" t="s">
        <v>32</v>
      </c>
      <c r="K879" s="2" t="s">
        <v>7961</v>
      </c>
      <c r="L879" s="3" t="s">
        <v>6820</v>
      </c>
      <c r="M879" s="2" t="s">
        <v>7962</v>
      </c>
      <c r="O879" s="2" t="s">
        <v>6822</v>
      </c>
      <c r="P879" s="2" t="s">
        <v>37</v>
      </c>
      <c r="Q879" s="2" t="s">
        <v>7963</v>
      </c>
      <c r="R879" s="2" t="s">
        <v>7964</v>
      </c>
      <c r="T879" s="2" t="s">
        <v>697</v>
      </c>
      <c r="X879" s="2" t="n">
        <v>10784</v>
      </c>
      <c r="Y879" s="2" t="s">
        <v>678</v>
      </c>
      <c r="Z879" s="3" t="s">
        <v>7965</v>
      </c>
    </row>
    <row r="880" customFormat="false" ht="13.8" hidden="false" customHeight="false" outlineLevel="0" collapsed="false">
      <c r="A880" s="0" t="str">
        <f aca="false">CONCATENATE("__import__.res_partner_",C880)</f>
        <v>__import__.res_partner_20000010785</v>
      </c>
      <c r="B880" s="2" t="s">
        <v>7966</v>
      </c>
      <c r="C880" s="3" t="s">
        <v>7967</v>
      </c>
      <c r="D880" s="2" t="s">
        <v>7968</v>
      </c>
      <c r="F880" s="2" t="s">
        <v>30</v>
      </c>
      <c r="G880" s="2" t="s">
        <v>31</v>
      </c>
      <c r="H880" s="2" t="s">
        <v>32</v>
      </c>
      <c r="K880" s="2" t="s">
        <v>7969</v>
      </c>
      <c r="L880" s="3" t="s">
        <v>985</v>
      </c>
      <c r="M880" s="2" t="s">
        <v>7970</v>
      </c>
      <c r="O880" s="2" t="s">
        <v>49</v>
      </c>
      <c r="P880" s="2" t="s">
        <v>37</v>
      </c>
      <c r="R880" s="2" t="s">
        <v>7971</v>
      </c>
      <c r="T880" s="2" t="s">
        <v>697</v>
      </c>
      <c r="X880" s="2" t="n">
        <v>10785</v>
      </c>
      <c r="Y880" s="2" t="s">
        <v>7968</v>
      </c>
      <c r="Z880" s="3" t="s">
        <v>7972</v>
      </c>
    </row>
    <row r="881" customFormat="false" ht="13.8" hidden="false" customHeight="false" outlineLevel="0" collapsed="false">
      <c r="A881" s="0" t="str">
        <f aca="false">CONCATENATE("__import__.res_partner_",C881)</f>
        <v>__import__.res_partner_20000010788</v>
      </c>
      <c r="B881" s="2" t="s">
        <v>7973</v>
      </c>
      <c r="C881" s="3" t="s">
        <v>7974</v>
      </c>
      <c r="D881" s="2" t="s">
        <v>7975</v>
      </c>
      <c r="F881" s="2" t="s">
        <v>30</v>
      </c>
      <c r="G881" s="2" t="s">
        <v>1664</v>
      </c>
      <c r="H881" s="2" t="s">
        <v>32</v>
      </c>
      <c r="K881" s="2" t="s">
        <v>7976</v>
      </c>
      <c r="L881" s="3" t="s">
        <v>2809</v>
      </c>
      <c r="M881" s="2" t="s">
        <v>7977</v>
      </c>
      <c r="O881" s="2" t="s">
        <v>2811</v>
      </c>
      <c r="P881" s="2" t="s">
        <v>37</v>
      </c>
      <c r="Q881" s="2" t="s">
        <v>7978</v>
      </c>
      <c r="R881" s="2" t="s">
        <v>7979</v>
      </c>
      <c r="T881" s="2" t="s">
        <v>697</v>
      </c>
      <c r="X881" s="2" t="n">
        <v>10788</v>
      </c>
      <c r="Y881" s="2" t="s">
        <v>7980</v>
      </c>
      <c r="Z881" s="3" t="s">
        <v>7981</v>
      </c>
    </row>
    <row r="882" customFormat="false" ht="13.8" hidden="false" customHeight="false" outlineLevel="0" collapsed="false">
      <c r="A882" s="0" t="str">
        <f aca="false">CONCATENATE("__import__.res_partner_",C882)</f>
        <v>__import__.res_partner_20000010789</v>
      </c>
      <c r="B882" s="2" t="s">
        <v>7982</v>
      </c>
      <c r="C882" s="3" t="s">
        <v>7983</v>
      </c>
      <c r="D882" s="2" t="s">
        <v>7984</v>
      </c>
      <c r="F882" s="2" t="s">
        <v>30</v>
      </c>
      <c r="G882" s="2" t="s">
        <v>1664</v>
      </c>
      <c r="H882" s="2" t="s">
        <v>32</v>
      </c>
      <c r="K882" s="2" t="s">
        <v>7985</v>
      </c>
      <c r="L882" s="3" t="s">
        <v>1822</v>
      </c>
      <c r="M882" s="2" t="s">
        <v>7986</v>
      </c>
      <c r="O882" s="2" t="s">
        <v>7987</v>
      </c>
      <c r="P882" s="2" t="s">
        <v>37</v>
      </c>
      <c r="Q882" s="2" t="s">
        <v>7988</v>
      </c>
      <c r="R882" s="2" t="s">
        <v>7989</v>
      </c>
      <c r="T882" s="2" t="s">
        <v>697</v>
      </c>
      <c r="X882" s="2" t="n">
        <v>10789</v>
      </c>
      <c r="Y882" s="2" t="s">
        <v>7984</v>
      </c>
      <c r="Z882" s="3" t="s">
        <v>7990</v>
      </c>
    </row>
    <row r="883" customFormat="false" ht="13.8" hidden="false" customHeight="false" outlineLevel="0" collapsed="false">
      <c r="A883" s="0" t="str">
        <f aca="false">CONCATENATE("__import__.res_partner_",C883)</f>
        <v>__import__.res_partner_20000010790</v>
      </c>
      <c r="B883" s="2" t="s">
        <v>7991</v>
      </c>
      <c r="C883" s="3" t="s">
        <v>7992</v>
      </c>
      <c r="D883" s="2" t="s">
        <v>7993</v>
      </c>
      <c r="F883" s="2" t="s">
        <v>30</v>
      </c>
      <c r="G883" s="2" t="s">
        <v>31</v>
      </c>
      <c r="H883" s="2" t="s">
        <v>32</v>
      </c>
      <c r="K883" s="2" t="s">
        <v>7994</v>
      </c>
      <c r="L883" s="3" t="s">
        <v>7995</v>
      </c>
      <c r="M883" s="2" t="s">
        <v>7996</v>
      </c>
      <c r="O883" s="2" t="s">
        <v>49</v>
      </c>
      <c r="P883" s="2" t="s">
        <v>37</v>
      </c>
      <c r="Q883" s="2" t="s">
        <v>7997</v>
      </c>
      <c r="R883" s="3" t="s">
        <v>7998</v>
      </c>
      <c r="T883" s="2" t="s">
        <v>97</v>
      </c>
      <c r="X883" s="2" t="n">
        <v>10790</v>
      </c>
      <c r="Y883" s="2" t="s">
        <v>7999</v>
      </c>
      <c r="Z883" s="3" t="s">
        <v>8000</v>
      </c>
    </row>
    <row r="884" customFormat="false" ht="13.8" hidden="false" customHeight="false" outlineLevel="0" collapsed="false">
      <c r="A884" s="0" t="str">
        <f aca="false">CONCATENATE("__import__.res_partner_",C884)</f>
        <v>__import__.res_partner_20000010793</v>
      </c>
      <c r="B884" s="2" t="s">
        <v>8001</v>
      </c>
      <c r="C884" s="3" t="s">
        <v>8002</v>
      </c>
      <c r="D884" s="2" t="s">
        <v>8003</v>
      </c>
      <c r="F884" s="2" t="s">
        <v>30</v>
      </c>
      <c r="G884" s="2" t="s">
        <v>31</v>
      </c>
      <c r="H884" s="2" t="s">
        <v>32</v>
      </c>
      <c r="K884" s="2" t="s">
        <v>8004</v>
      </c>
      <c r="L884" s="3" t="s">
        <v>8005</v>
      </c>
      <c r="M884" s="2" t="s">
        <v>8006</v>
      </c>
      <c r="O884" s="2" t="s">
        <v>8007</v>
      </c>
      <c r="P884" s="2" t="s">
        <v>37</v>
      </c>
      <c r="Q884" s="2" t="s">
        <v>8008</v>
      </c>
      <c r="R884" s="2" t="s">
        <v>8009</v>
      </c>
      <c r="T884" s="2" t="s">
        <v>97</v>
      </c>
      <c r="X884" s="2" t="n">
        <v>10793</v>
      </c>
      <c r="Y884" s="2" t="s">
        <v>8010</v>
      </c>
      <c r="Z884" s="3" t="s">
        <v>8011</v>
      </c>
    </row>
    <row r="885" customFormat="false" ht="13.8" hidden="false" customHeight="false" outlineLevel="0" collapsed="false">
      <c r="A885" s="0" t="str">
        <f aca="false">CONCATENATE("__import__.res_partner_",C885)</f>
        <v>__import__.res_partner_20000010794</v>
      </c>
      <c r="B885" s="2" t="s">
        <v>8012</v>
      </c>
      <c r="C885" s="3" t="s">
        <v>8013</v>
      </c>
      <c r="D885" s="2" t="s">
        <v>8014</v>
      </c>
      <c r="F885" s="2" t="s">
        <v>30</v>
      </c>
      <c r="G885" s="2" t="s">
        <v>31</v>
      </c>
      <c r="H885" s="2" t="s">
        <v>32</v>
      </c>
      <c r="K885" s="2" t="s">
        <v>8015</v>
      </c>
      <c r="L885" s="3" t="s">
        <v>3003</v>
      </c>
      <c r="M885" s="2" t="s">
        <v>8016</v>
      </c>
      <c r="O885" s="2" t="s">
        <v>2754</v>
      </c>
      <c r="P885" s="2" t="s">
        <v>37</v>
      </c>
      <c r="Q885" s="2" t="s">
        <v>8017</v>
      </c>
      <c r="R885" s="2" t="s">
        <v>8018</v>
      </c>
      <c r="T885" s="2" t="s">
        <v>97</v>
      </c>
      <c r="X885" s="2" t="n">
        <v>10794</v>
      </c>
      <c r="Y885" s="2" t="s">
        <v>678</v>
      </c>
      <c r="Z885" s="3" t="s">
        <v>8019</v>
      </c>
    </row>
    <row r="886" customFormat="false" ht="13.8" hidden="false" customHeight="false" outlineLevel="0" collapsed="false">
      <c r="A886" s="0" t="str">
        <f aca="false">CONCATENATE("__import__.res_partner_",C886)</f>
        <v>__import__.res_partner_20000010795</v>
      </c>
      <c r="B886" s="2" t="s">
        <v>8020</v>
      </c>
      <c r="C886" s="3" t="s">
        <v>8021</v>
      </c>
      <c r="D886" s="2" t="s">
        <v>8022</v>
      </c>
      <c r="F886" s="2" t="s">
        <v>30</v>
      </c>
      <c r="G886" s="2" t="s">
        <v>31</v>
      </c>
      <c r="H886" s="2" t="s">
        <v>32</v>
      </c>
      <c r="K886" s="2" t="s">
        <v>8023</v>
      </c>
      <c r="L886" s="3" t="s">
        <v>6840</v>
      </c>
      <c r="M886" s="2" t="s">
        <v>8024</v>
      </c>
      <c r="O886" s="2" t="s">
        <v>6842</v>
      </c>
      <c r="P886" s="2" t="s">
        <v>37</v>
      </c>
      <c r="T886" s="2" t="s">
        <v>697</v>
      </c>
      <c r="X886" s="2" t="n">
        <v>10795</v>
      </c>
      <c r="Y886" s="2" t="s">
        <v>678</v>
      </c>
      <c r="Z886" s="3" t="s">
        <v>8025</v>
      </c>
    </row>
    <row r="887" customFormat="false" ht="13.8" hidden="false" customHeight="false" outlineLevel="0" collapsed="false">
      <c r="A887" s="0" t="str">
        <f aca="false">CONCATENATE("__import__.res_partner_",C887)</f>
        <v>__import__.res_partner_20000010796</v>
      </c>
      <c r="B887" s="2" t="s">
        <v>8026</v>
      </c>
      <c r="C887" s="3" t="s">
        <v>8027</v>
      </c>
      <c r="D887" s="2" t="s">
        <v>8028</v>
      </c>
      <c r="F887" s="2" t="s">
        <v>30</v>
      </c>
      <c r="G887" s="2" t="s">
        <v>31</v>
      </c>
      <c r="H887" s="2" t="s">
        <v>32</v>
      </c>
      <c r="K887" s="2" t="s">
        <v>8029</v>
      </c>
      <c r="L887" s="3" t="s">
        <v>3305</v>
      </c>
      <c r="M887" s="2" t="s">
        <v>8030</v>
      </c>
      <c r="O887" s="2" t="s">
        <v>36</v>
      </c>
      <c r="P887" s="2" t="s">
        <v>37</v>
      </c>
      <c r="R887" s="2" t="s">
        <v>8031</v>
      </c>
      <c r="T887" s="2" t="s">
        <v>697</v>
      </c>
      <c r="X887" s="2" t="n">
        <v>10796</v>
      </c>
      <c r="Y887" s="2" t="s">
        <v>678</v>
      </c>
      <c r="Z887" s="3" t="s">
        <v>8032</v>
      </c>
    </row>
    <row r="888" customFormat="false" ht="13.8" hidden="false" customHeight="false" outlineLevel="0" collapsed="false">
      <c r="A888" s="0" t="str">
        <f aca="false">CONCATENATE("__import__.res_partner_",C888)</f>
        <v>__import__.res_partner_20000010798</v>
      </c>
      <c r="B888" s="2" t="s">
        <v>8033</v>
      </c>
      <c r="C888" s="3" t="s">
        <v>8034</v>
      </c>
      <c r="D888" s="2" t="s">
        <v>8035</v>
      </c>
      <c r="F888" s="2" t="s">
        <v>30</v>
      </c>
      <c r="G888" s="2" t="s">
        <v>31</v>
      </c>
      <c r="H888" s="2" t="s">
        <v>32</v>
      </c>
      <c r="K888" s="2" t="s">
        <v>8036</v>
      </c>
      <c r="L888" s="3" t="s">
        <v>4058</v>
      </c>
      <c r="M888" s="2" t="s">
        <v>8037</v>
      </c>
      <c r="O888" s="2" t="s">
        <v>7455</v>
      </c>
      <c r="P888" s="2" t="s">
        <v>37</v>
      </c>
      <c r="Q888" s="2" t="s">
        <v>232</v>
      </c>
      <c r="R888" s="3" t="s">
        <v>8038</v>
      </c>
      <c r="T888" s="2" t="s">
        <v>40</v>
      </c>
      <c r="X888" s="2" t="n">
        <v>10798</v>
      </c>
      <c r="Y888" s="2" t="s">
        <v>8039</v>
      </c>
      <c r="Z888" s="3" t="s">
        <v>8040</v>
      </c>
    </row>
    <row r="889" customFormat="false" ht="13.8" hidden="false" customHeight="false" outlineLevel="0" collapsed="false">
      <c r="A889" s="0" t="str">
        <f aca="false">CONCATENATE("__import__.res_partner_",C889)</f>
        <v>__import__.res_partner_20000010799</v>
      </c>
      <c r="B889" s="2" t="s">
        <v>8041</v>
      </c>
      <c r="C889" s="3" t="s">
        <v>8042</v>
      </c>
      <c r="D889" s="2" t="s">
        <v>8043</v>
      </c>
      <c r="F889" s="2" t="s">
        <v>30</v>
      </c>
      <c r="G889" s="2" t="s">
        <v>31</v>
      </c>
      <c r="H889" s="2" t="s">
        <v>32</v>
      </c>
      <c r="K889" s="2" t="s">
        <v>8044</v>
      </c>
      <c r="L889" s="3" t="s">
        <v>8045</v>
      </c>
      <c r="M889" s="2" t="s">
        <v>8046</v>
      </c>
      <c r="N889" s="2" t="s">
        <v>8047</v>
      </c>
      <c r="O889" s="2" t="s">
        <v>8048</v>
      </c>
      <c r="P889" s="2" t="s">
        <v>37</v>
      </c>
      <c r="T889" s="2" t="s">
        <v>76</v>
      </c>
      <c r="X889" s="2" t="n">
        <v>10799</v>
      </c>
      <c r="Y889" s="2" t="s">
        <v>678</v>
      </c>
      <c r="Z889" s="3" t="s">
        <v>8049</v>
      </c>
    </row>
    <row r="890" customFormat="false" ht="13.8" hidden="false" customHeight="false" outlineLevel="0" collapsed="false">
      <c r="A890" s="0" t="str">
        <f aca="false">CONCATENATE("__import__.res_partner_",C890)</f>
        <v>__import__.res_partner_20000010800</v>
      </c>
      <c r="B890" s="2" t="s">
        <v>8050</v>
      </c>
      <c r="C890" s="3" t="s">
        <v>8051</v>
      </c>
      <c r="D890" s="2" t="s">
        <v>8052</v>
      </c>
      <c r="F890" s="2" t="s">
        <v>30</v>
      </c>
      <c r="G890" s="2" t="s">
        <v>31</v>
      </c>
      <c r="H890" s="2" t="s">
        <v>32</v>
      </c>
      <c r="K890" s="2" t="s">
        <v>8053</v>
      </c>
      <c r="L890" s="3" t="s">
        <v>8054</v>
      </c>
      <c r="M890" s="2" t="s">
        <v>8055</v>
      </c>
      <c r="O890" s="2" t="s">
        <v>8056</v>
      </c>
      <c r="P890" s="2" t="s">
        <v>1162</v>
      </c>
      <c r="Q890" s="2" t="s">
        <v>8057</v>
      </c>
      <c r="R890" s="2" t="s">
        <v>8058</v>
      </c>
      <c r="T890" s="2" t="s">
        <v>697</v>
      </c>
      <c r="V890" s="2" t="s">
        <v>8059</v>
      </c>
      <c r="W890" s="2" t="s">
        <v>8060</v>
      </c>
      <c r="X890" s="2" t="n">
        <v>10800</v>
      </c>
      <c r="Y890" s="2" t="s">
        <v>8061</v>
      </c>
      <c r="Z890" s="3" t="s">
        <v>8062</v>
      </c>
      <c r="AA890" s="2" t="s">
        <v>8063</v>
      </c>
    </row>
    <row r="891" customFormat="false" ht="76.1" hidden="false" customHeight="false" outlineLevel="0" collapsed="false">
      <c r="A891" s="0" t="str">
        <f aca="false">CONCATENATE("__import__.res_partner_",C891)</f>
        <v>__import__.res_partner_20000010801</v>
      </c>
      <c r="B891" s="2" t="s">
        <v>8064</v>
      </c>
      <c r="C891" s="3" t="s">
        <v>8065</v>
      </c>
      <c r="D891" s="2" t="s">
        <v>8066</v>
      </c>
      <c r="F891" s="2" t="s">
        <v>30</v>
      </c>
      <c r="G891" s="2" t="s">
        <v>31</v>
      </c>
      <c r="H891" s="2" t="s">
        <v>32</v>
      </c>
      <c r="K891" s="2" t="s">
        <v>8067</v>
      </c>
      <c r="L891" s="2" t="s">
        <v>8068</v>
      </c>
      <c r="M891" s="2" t="s">
        <v>8069</v>
      </c>
      <c r="O891" s="2" t="s">
        <v>8070</v>
      </c>
      <c r="P891" s="2" t="s">
        <v>675</v>
      </c>
      <c r="Q891" s="2" t="s">
        <v>8071</v>
      </c>
      <c r="T891" s="2" t="s">
        <v>697</v>
      </c>
      <c r="X891" s="2" t="n">
        <v>10801</v>
      </c>
      <c r="Y891" s="2" t="s">
        <v>8066</v>
      </c>
      <c r="Z891" s="3" t="s">
        <v>8072</v>
      </c>
      <c r="AA891" s="4" t="s">
        <v>8073</v>
      </c>
    </row>
    <row r="892" customFormat="false" ht="13.8" hidden="false" customHeight="false" outlineLevel="0" collapsed="false">
      <c r="A892" s="0" t="str">
        <f aca="false">CONCATENATE("__import__.res_partner_",C892)</f>
        <v>__import__.res_partner_20000010802</v>
      </c>
      <c r="B892" s="2" t="s">
        <v>8074</v>
      </c>
      <c r="C892" s="3" t="s">
        <v>8075</v>
      </c>
      <c r="D892" s="2" t="s">
        <v>8076</v>
      </c>
      <c r="F892" s="2" t="s">
        <v>30</v>
      </c>
      <c r="G892" s="2" t="s">
        <v>1664</v>
      </c>
      <c r="H892" s="2" t="s">
        <v>32</v>
      </c>
      <c r="K892" s="2" t="s">
        <v>8077</v>
      </c>
      <c r="L892" s="3" t="s">
        <v>4000</v>
      </c>
      <c r="M892" s="2" t="s">
        <v>8078</v>
      </c>
      <c r="O892" s="2" t="s">
        <v>4002</v>
      </c>
      <c r="P892" s="2" t="s">
        <v>37</v>
      </c>
      <c r="Q892" s="2" t="s">
        <v>8079</v>
      </c>
      <c r="R892" s="2" t="s">
        <v>8080</v>
      </c>
      <c r="T892" s="2" t="s">
        <v>697</v>
      </c>
      <c r="V892" s="2" t="s">
        <v>4271</v>
      </c>
      <c r="W892" s="2" t="s">
        <v>8081</v>
      </c>
      <c r="X892" s="2" t="n">
        <v>10802</v>
      </c>
      <c r="Y892" s="2" t="s">
        <v>8082</v>
      </c>
      <c r="Z892" s="3" t="s">
        <v>8083</v>
      </c>
    </row>
    <row r="893" customFormat="false" ht="13.8" hidden="false" customHeight="false" outlineLevel="0" collapsed="false">
      <c r="A893" s="0" t="str">
        <f aca="false">CONCATENATE("__import__.res_partner_",C893)</f>
        <v>__import__.res_partner_20000010803</v>
      </c>
      <c r="B893" s="2" t="s">
        <v>8084</v>
      </c>
      <c r="C893" s="3" t="s">
        <v>8085</v>
      </c>
      <c r="D893" s="2" t="s">
        <v>8086</v>
      </c>
      <c r="F893" s="2" t="s">
        <v>30</v>
      </c>
      <c r="G893" s="2" t="s">
        <v>1664</v>
      </c>
      <c r="H893" s="2" t="s">
        <v>32</v>
      </c>
      <c r="K893" s="2" t="s">
        <v>8087</v>
      </c>
      <c r="L893" s="3" t="s">
        <v>4975</v>
      </c>
      <c r="M893" s="2" t="s">
        <v>8088</v>
      </c>
      <c r="O893" s="2" t="s">
        <v>2801</v>
      </c>
      <c r="P893" s="2" t="s">
        <v>37</v>
      </c>
      <c r="R893" s="2" t="s">
        <v>8089</v>
      </c>
      <c r="T893" s="2" t="s">
        <v>697</v>
      </c>
      <c r="X893" s="2" t="n">
        <v>10803</v>
      </c>
      <c r="Y893" s="2" t="s">
        <v>8090</v>
      </c>
      <c r="Z893" s="3" t="s">
        <v>8091</v>
      </c>
    </row>
    <row r="894" customFormat="false" ht="13.8" hidden="false" customHeight="false" outlineLevel="0" collapsed="false">
      <c r="A894" s="0" t="str">
        <f aca="false">CONCATENATE("__import__.res_partner_",C894)</f>
        <v>__import__.res_partner_20000010804</v>
      </c>
      <c r="B894" s="2" t="s">
        <v>8092</v>
      </c>
      <c r="C894" s="3" t="s">
        <v>8093</v>
      </c>
      <c r="D894" s="2" t="s">
        <v>8094</v>
      </c>
      <c r="F894" s="2" t="s">
        <v>30</v>
      </c>
      <c r="G894" s="2" t="s">
        <v>1664</v>
      </c>
      <c r="H894" s="2" t="s">
        <v>32</v>
      </c>
      <c r="K894" s="2" t="s">
        <v>8095</v>
      </c>
      <c r="L894" s="3" t="s">
        <v>8096</v>
      </c>
      <c r="M894" s="2" t="s">
        <v>8097</v>
      </c>
      <c r="O894" s="2" t="s">
        <v>8098</v>
      </c>
      <c r="P894" s="2" t="s">
        <v>37</v>
      </c>
      <c r="R894" s="2" t="s">
        <v>8099</v>
      </c>
      <c r="T894" s="2" t="s">
        <v>697</v>
      </c>
      <c r="V894" s="2" t="s">
        <v>4271</v>
      </c>
      <c r="W894" s="2" t="s">
        <v>8100</v>
      </c>
      <c r="X894" s="2" t="n">
        <v>10804</v>
      </c>
      <c r="Y894" s="2" t="s">
        <v>8094</v>
      </c>
      <c r="Z894" s="3" t="s">
        <v>8101</v>
      </c>
    </row>
    <row r="895" customFormat="false" ht="13.8" hidden="false" customHeight="false" outlineLevel="0" collapsed="false">
      <c r="A895" s="0" t="str">
        <f aca="false">CONCATENATE("__import__.res_partner_",C895)</f>
        <v>__import__.res_partner_20000010805</v>
      </c>
      <c r="B895" s="2" t="s">
        <v>8102</v>
      </c>
      <c r="C895" s="3" t="s">
        <v>8103</v>
      </c>
      <c r="D895" s="2" t="s">
        <v>8104</v>
      </c>
      <c r="F895" s="2" t="s">
        <v>30</v>
      </c>
      <c r="G895" s="2" t="s">
        <v>1664</v>
      </c>
      <c r="H895" s="2" t="s">
        <v>32</v>
      </c>
      <c r="K895" s="2" t="s">
        <v>8105</v>
      </c>
      <c r="L895" s="3" t="s">
        <v>8106</v>
      </c>
      <c r="M895" s="2" t="s">
        <v>8107</v>
      </c>
      <c r="O895" s="2" t="s">
        <v>5874</v>
      </c>
      <c r="P895" s="2" t="s">
        <v>37</v>
      </c>
      <c r="R895" s="2" t="s">
        <v>8108</v>
      </c>
      <c r="T895" s="2" t="s">
        <v>697</v>
      </c>
      <c r="X895" s="2" t="n">
        <v>10805</v>
      </c>
      <c r="Y895" s="2" t="s">
        <v>8109</v>
      </c>
      <c r="Z895" s="3" t="s">
        <v>8110</v>
      </c>
    </row>
    <row r="896" customFormat="false" ht="28.5" hidden="false" customHeight="false" outlineLevel="0" collapsed="false">
      <c r="A896" s="0" t="str">
        <f aca="false">CONCATENATE("__import__.res_partner_",C896)</f>
        <v>__import__.res_partner_20000010806</v>
      </c>
      <c r="B896" s="2" t="s">
        <v>8111</v>
      </c>
      <c r="C896" s="3" t="s">
        <v>8112</v>
      </c>
      <c r="D896" s="2" t="s">
        <v>8113</v>
      </c>
      <c r="F896" s="2" t="s">
        <v>30</v>
      </c>
      <c r="G896" s="2" t="s">
        <v>31</v>
      </c>
      <c r="H896" s="2" t="s">
        <v>32</v>
      </c>
      <c r="K896" s="2" t="s">
        <v>8114</v>
      </c>
      <c r="L896" s="3" t="s">
        <v>163</v>
      </c>
      <c r="M896" s="2" t="s">
        <v>8115</v>
      </c>
      <c r="O896" s="2" t="s">
        <v>165</v>
      </c>
      <c r="P896" s="2" t="s">
        <v>37</v>
      </c>
      <c r="T896" s="2" t="s">
        <v>108</v>
      </c>
      <c r="X896" s="2" t="n">
        <v>10806</v>
      </c>
      <c r="Y896" s="2" t="s">
        <v>8113</v>
      </c>
      <c r="Z896" s="3" t="s">
        <v>8116</v>
      </c>
      <c r="AA896" s="4" t="s">
        <v>8117</v>
      </c>
    </row>
    <row r="897" customFormat="false" ht="13.8" hidden="false" customHeight="false" outlineLevel="0" collapsed="false">
      <c r="A897" s="0" t="str">
        <f aca="false">CONCATENATE("__import__.res_partner_",C897)</f>
        <v>__import__.res_partner_20000010819</v>
      </c>
      <c r="B897" s="2" t="s">
        <v>8118</v>
      </c>
      <c r="C897" s="3" t="s">
        <v>8119</v>
      </c>
      <c r="D897" s="2" t="s">
        <v>8120</v>
      </c>
      <c r="F897" s="2" t="s">
        <v>30</v>
      </c>
      <c r="G897" s="2" t="s">
        <v>31</v>
      </c>
      <c r="H897" s="2" t="s">
        <v>32</v>
      </c>
      <c r="K897" s="2" t="s">
        <v>8121</v>
      </c>
      <c r="L897" s="3" t="s">
        <v>8122</v>
      </c>
      <c r="M897" s="2" t="s">
        <v>8123</v>
      </c>
      <c r="O897" s="2" t="s">
        <v>8124</v>
      </c>
      <c r="P897" s="2" t="s">
        <v>37</v>
      </c>
      <c r="T897" s="2" t="s">
        <v>697</v>
      </c>
      <c r="X897" s="2" t="n">
        <v>10819</v>
      </c>
      <c r="Y897" s="2" t="s">
        <v>678</v>
      </c>
      <c r="Z897" s="3" t="s">
        <v>8125</v>
      </c>
    </row>
    <row r="898" customFormat="false" ht="13.8" hidden="false" customHeight="false" outlineLevel="0" collapsed="false">
      <c r="A898" s="0" t="str">
        <f aca="false">CONCATENATE("__import__.res_partner_",C898)</f>
        <v>__import__.res_partner_20000010821</v>
      </c>
      <c r="B898" s="2" t="s">
        <v>8126</v>
      </c>
      <c r="C898" s="3" t="s">
        <v>8127</v>
      </c>
      <c r="D898" s="2" t="s">
        <v>8128</v>
      </c>
      <c r="F898" s="2" t="s">
        <v>30</v>
      </c>
      <c r="G898" s="2" t="s">
        <v>31</v>
      </c>
      <c r="H898" s="2" t="s">
        <v>32</v>
      </c>
      <c r="K898" s="2" t="s">
        <v>8129</v>
      </c>
      <c r="L898" s="3" t="s">
        <v>8130</v>
      </c>
      <c r="M898" s="2" t="s">
        <v>8131</v>
      </c>
      <c r="O898" s="2" t="s">
        <v>8132</v>
      </c>
      <c r="P898" s="2" t="s">
        <v>37</v>
      </c>
      <c r="T898" s="2" t="s">
        <v>697</v>
      </c>
      <c r="X898" s="2" t="n">
        <v>10821</v>
      </c>
      <c r="Y898" s="2" t="s">
        <v>678</v>
      </c>
      <c r="Z898" s="3" t="s">
        <v>8133</v>
      </c>
    </row>
    <row r="899" customFormat="false" ht="13.8" hidden="false" customHeight="false" outlineLevel="0" collapsed="false">
      <c r="A899" s="0" t="str">
        <f aca="false">CONCATENATE("__import__.res_partner_",C899)</f>
        <v>__import__.res_partner_20000010822</v>
      </c>
      <c r="B899" s="2" t="s">
        <v>8134</v>
      </c>
      <c r="C899" s="3" t="s">
        <v>8135</v>
      </c>
      <c r="D899" s="2" t="s">
        <v>8136</v>
      </c>
      <c r="F899" s="2" t="s">
        <v>30</v>
      </c>
      <c r="G899" s="2" t="s">
        <v>31</v>
      </c>
      <c r="H899" s="2" t="s">
        <v>32</v>
      </c>
      <c r="K899" s="2" t="s">
        <v>8137</v>
      </c>
      <c r="L899" s="3" t="s">
        <v>8138</v>
      </c>
      <c r="M899" s="2" t="s">
        <v>8139</v>
      </c>
      <c r="O899" s="2" t="s">
        <v>8140</v>
      </c>
      <c r="P899" s="2" t="s">
        <v>37</v>
      </c>
      <c r="T899" s="2" t="s">
        <v>76</v>
      </c>
      <c r="X899" s="2" t="n">
        <v>10822</v>
      </c>
      <c r="Y899" s="2" t="s">
        <v>678</v>
      </c>
      <c r="Z899" s="3" t="s">
        <v>8141</v>
      </c>
    </row>
    <row r="900" customFormat="false" ht="13.8" hidden="false" customHeight="false" outlineLevel="0" collapsed="false">
      <c r="A900" s="0" t="str">
        <f aca="false">CONCATENATE("__import__.res_partner_",C900)</f>
        <v>__import__.res_partner_20000010825</v>
      </c>
      <c r="B900" s="2" t="s">
        <v>8142</v>
      </c>
      <c r="C900" s="3" t="s">
        <v>8143</v>
      </c>
      <c r="D900" s="2" t="s">
        <v>8144</v>
      </c>
      <c r="F900" s="3" t="s">
        <v>557</v>
      </c>
      <c r="G900" s="2" t="s">
        <v>31</v>
      </c>
      <c r="H900" s="2" t="s">
        <v>32</v>
      </c>
      <c r="K900" s="2" t="s">
        <v>8145</v>
      </c>
      <c r="L900" s="3" t="s">
        <v>3362</v>
      </c>
      <c r="M900" s="2" t="s">
        <v>8146</v>
      </c>
      <c r="O900" s="2" t="s">
        <v>2754</v>
      </c>
      <c r="P900" s="2" t="s">
        <v>37</v>
      </c>
      <c r="T900" s="2" t="s">
        <v>697</v>
      </c>
      <c r="X900" s="2" t="n">
        <v>10825</v>
      </c>
      <c r="Y900" s="2" t="s">
        <v>8144</v>
      </c>
      <c r="Z900" s="3" t="s">
        <v>8147</v>
      </c>
    </row>
    <row r="901" customFormat="false" ht="28.5" hidden="false" customHeight="false" outlineLevel="0" collapsed="false">
      <c r="A901" s="0" t="str">
        <f aca="false">CONCATENATE("__import__.res_partner_",C901)</f>
        <v>__import__.res_partner_20000010826</v>
      </c>
      <c r="B901" s="2" t="s">
        <v>8148</v>
      </c>
      <c r="C901" s="3" t="s">
        <v>8149</v>
      </c>
      <c r="D901" s="2" t="s">
        <v>8150</v>
      </c>
      <c r="F901" s="2" t="s">
        <v>30</v>
      </c>
      <c r="G901" s="2" t="s">
        <v>31</v>
      </c>
      <c r="H901" s="2" t="s">
        <v>32</v>
      </c>
      <c r="K901" s="2" t="s">
        <v>8151</v>
      </c>
      <c r="L901" s="3" t="s">
        <v>3343</v>
      </c>
      <c r="M901" s="2" t="s">
        <v>8152</v>
      </c>
      <c r="O901" s="2" t="s">
        <v>2754</v>
      </c>
      <c r="P901" s="2" t="s">
        <v>37</v>
      </c>
      <c r="Q901" s="2" t="s">
        <v>8153</v>
      </c>
      <c r="R901" s="2" t="s">
        <v>8154</v>
      </c>
      <c r="T901" s="2" t="s">
        <v>697</v>
      </c>
      <c r="X901" s="2" t="n">
        <v>10826</v>
      </c>
      <c r="Y901" s="2" t="s">
        <v>8155</v>
      </c>
      <c r="Z901" s="3" t="s">
        <v>8156</v>
      </c>
      <c r="AA901" s="4" t="s">
        <v>8157</v>
      </c>
    </row>
    <row r="902" customFormat="false" ht="13.8" hidden="false" customHeight="false" outlineLevel="0" collapsed="false">
      <c r="A902" s="0" t="str">
        <f aca="false">CONCATENATE("__import__.res_partner_",C902)</f>
        <v>__import__.res_partner_20000010827</v>
      </c>
      <c r="B902" s="2" t="s">
        <v>8158</v>
      </c>
      <c r="C902" s="3" t="s">
        <v>8159</v>
      </c>
      <c r="D902" s="2" t="s">
        <v>8160</v>
      </c>
      <c r="F902" s="2" t="s">
        <v>30</v>
      </c>
      <c r="G902" s="2" t="s">
        <v>1664</v>
      </c>
      <c r="H902" s="2" t="s">
        <v>32</v>
      </c>
      <c r="K902" s="2" t="s">
        <v>8161</v>
      </c>
      <c r="L902" s="3" t="s">
        <v>4822</v>
      </c>
      <c r="M902" s="2" t="s">
        <v>8162</v>
      </c>
      <c r="O902" s="2" t="s">
        <v>3689</v>
      </c>
      <c r="P902" s="2" t="s">
        <v>37</v>
      </c>
      <c r="T902" s="2" t="s">
        <v>76</v>
      </c>
      <c r="X902" s="2" t="n">
        <v>10827</v>
      </c>
      <c r="Y902" s="2" t="s">
        <v>8160</v>
      </c>
      <c r="Z902" s="3" t="s">
        <v>8163</v>
      </c>
    </row>
    <row r="903" customFormat="false" ht="13.8" hidden="false" customHeight="false" outlineLevel="0" collapsed="false">
      <c r="A903" s="0" t="str">
        <f aca="false">CONCATENATE("__import__.res_partner_",C903)</f>
        <v>__import__.res_partner_20000010828</v>
      </c>
      <c r="B903" s="2" t="s">
        <v>8164</v>
      </c>
      <c r="C903" s="3" t="s">
        <v>8165</v>
      </c>
      <c r="D903" s="2" t="s">
        <v>8166</v>
      </c>
      <c r="F903" s="2" t="s">
        <v>30</v>
      </c>
      <c r="G903" s="2" t="s">
        <v>1664</v>
      </c>
      <c r="H903" s="2" t="s">
        <v>32</v>
      </c>
      <c r="K903" s="2" t="s">
        <v>8167</v>
      </c>
      <c r="L903" s="3" t="s">
        <v>1149</v>
      </c>
      <c r="M903" s="2" t="s">
        <v>8168</v>
      </c>
      <c r="O903" s="2" t="s">
        <v>1151</v>
      </c>
      <c r="P903" s="2" t="s">
        <v>37</v>
      </c>
      <c r="T903" s="2" t="s">
        <v>76</v>
      </c>
      <c r="X903" s="2" t="n">
        <v>10828</v>
      </c>
      <c r="Y903" s="2" t="s">
        <v>8166</v>
      </c>
      <c r="Z903" s="3" t="s">
        <v>8169</v>
      </c>
    </row>
    <row r="904" customFormat="false" ht="13.8" hidden="false" customHeight="false" outlineLevel="0" collapsed="false">
      <c r="A904" s="0" t="str">
        <f aca="false">CONCATENATE("__import__.res_partner_",C904)</f>
        <v>__import__.res_partner_20000010829</v>
      </c>
      <c r="B904" s="2" t="s">
        <v>8170</v>
      </c>
      <c r="C904" s="3" t="s">
        <v>8171</v>
      </c>
      <c r="D904" s="2" t="s">
        <v>8172</v>
      </c>
      <c r="F904" s="3" t="s">
        <v>557</v>
      </c>
      <c r="G904" s="2" t="s">
        <v>31</v>
      </c>
      <c r="H904" s="2" t="s">
        <v>32</v>
      </c>
      <c r="K904" s="2" t="s">
        <v>8173</v>
      </c>
      <c r="L904" s="3" t="s">
        <v>8174</v>
      </c>
      <c r="M904" s="2" t="s">
        <v>8175</v>
      </c>
      <c r="O904" s="2" t="s">
        <v>2801</v>
      </c>
      <c r="P904" s="2" t="s">
        <v>37</v>
      </c>
      <c r="Q904" s="2" t="s">
        <v>8176</v>
      </c>
      <c r="R904" s="3" t="s">
        <v>8177</v>
      </c>
      <c r="T904" s="2" t="s">
        <v>697</v>
      </c>
      <c r="X904" s="2" t="n">
        <v>10829</v>
      </c>
      <c r="Y904" s="2" t="s">
        <v>8178</v>
      </c>
      <c r="Z904" s="3" t="s">
        <v>8179</v>
      </c>
    </row>
    <row r="905" customFormat="false" ht="13.8" hidden="false" customHeight="false" outlineLevel="0" collapsed="false">
      <c r="A905" s="0" t="str">
        <f aca="false">CONCATENATE("__import__.res_partner_",C905)</f>
        <v>__import__.res_partner_20000010830</v>
      </c>
      <c r="B905" s="2" t="s">
        <v>8180</v>
      </c>
      <c r="C905" s="3" t="s">
        <v>8181</v>
      </c>
      <c r="D905" s="2" t="s">
        <v>8182</v>
      </c>
      <c r="F905" s="2" t="s">
        <v>30</v>
      </c>
      <c r="G905" s="2" t="s">
        <v>31</v>
      </c>
      <c r="H905" s="2" t="s">
        <v>32</v>
      </c>
      <c r="K905" s="2" t="s">
        <v>8183</v>
      </c>
      <c r="L905" s="3" t="s">
        <v>3257</v>
      </c>
      <c r="M905" s="2" t="s">
        <v>8184</v>
      </c>
      <c r="O905" s="2" t="s">
        <v>2881</v>
      </c>
      <c r="P905" s="2" t="s">
        <v>37</v>
      </c>
      <c r="R905" s="2" t="s">
        <v>8185</v>
      </c>
      <c r="T905" s="2" t="s">
        <v>76</v>
      </c>
      <c r="X905" s="2" t="n">
        <v>10830</v>
      </c>
      <c r="Y905" s="2" t="s">
        <v>8182</v>
      </c>
      <c r="Z905" s="3" t="s">
        <v>8186</v>
      </c>
    </row>
    <row r="906" customFormat="false" ht="13.8" hidden="false" customHeight="false" outlineLevel="0" collapsed="false">
      <c r="A906" s="0" t="str">
        <f aca="false">CONCATENATE("__import__.res_partner_",C906)</f>
        <v>__import__.res_partner_20000010831</v>
      </c>
      <c r="B906" s="2" t="s">
        <v>8187</v>
      </c>
      <c r="C906" s="3" t="s">
        <v>8188</v>
      </c>
      <c r="D906" s="2" t="s">
        <v>8189</v>
      </c>
      <c r="F906" s="2" t="s">
        <v>30</v>
      </c>
      <c r="G906" s="2" t="s">
        <v>31</v>
      </c>
      <c r="H906" s="2" t="s">
        <v>32</v>
      </c>
      <c r="K906" s="2" t="s">
        <v>8190</v>
      </c>
      <c r="L906" s="3" t="s">
        <v>8191</v>
      </c>
      <c r="M906" s="2" t="s">
        <v>8192</v>
      </c>
      <c r="O906" s="2" t="s">
        <v>8193</v>
      </c>
      <c r="P906" s="2" t="s">
        <v>37</v>
      </c>
      <c r="T906" s="2" t="s">
        <v>697</v>
      </c>
      <c r="X906" s="2" t="n">
        <v>10831</v>
      </c>
      <c r="Y906" s="2" t="s">
        <v>8189</v>
      </c>
      <c r="Z906" s="3" t="s">
        <v>8194</v>
      </c>
    </row>
    <row r="907" customFormat="false" ht="13.8" hidden="false" customHeight="false" outlineLevel="0" collapsed="false">
      <c r="A907" s="0" t="str">
        <f aca="false">CONCATENATE("__import__.res_partner_",C907)</f>
        <v>__import__.res_partner_20000010832</v>
      </c>
      <c r="B907" s="2" t="s">
        <v>8195</v>
      </c>
      <c r="C907" s="3" t="s">
        <v>8196</v>
      </c>
      <c r="D907" s="2" t="s">
        <v>8197</v>
      </c>
      <c r="F907" s="2" t="s">
        <v>30</v>
      </c>
      <c r="G907" s="2" t="s">
        <v>31</v>
      </c>
      <c r="H907" s="2" t="s">
        <v>32</v>
      </c>
      <c r="K907" s="2" t="s">
        <v>8198</v>
      </c>
      <c r="L907" s="3" t="s">
        <v>440</v>
      </c>
      <c r="M907" s="2" t="s">
        <v>8199</v>
      </c>
      <c r="O907" s="2" t="s">
        <v>49</v>
      </c>
      <c r="P907" s="2" t="s">
        <v>37</v>
      </c>
      <c r="R907" s="3" t="s">
        <v>8200</v>
      </c>
      <c r="T907" s="2" t="s">
        <v>108</v>
      </c>
      <c r="X907" s="2" t="n">
        <v>10832</v>
      </c>
      <c r="Y907" s="2" t="s">
        <v>8201</v>
      </c>
      <c r="Z907" s="3" t="s">
        <v>8202</v>
      </c>
    </row>
    <row r="908" customFormat="false" ht="13.8" hidden="false" customHeight="false" outlineLevel="0" collapsed="false">
      <c r="A908" s="0" t="str">
        <f aca="false">CONCATENATE("__import__.res_partner_",C908)</f>
        <v>__import__.res_partner_20000010834</v>
      </c>
      <c r="B908" s="2" t="s">
        <v>8203</v>
      </c>
      <c r="C908" s="3" t="s">
        <v>8204</v>
      </c>
      <c r="D908" s="2" t="s">
        <v>8205</v>
      </c>
      <c r="F908" s="2" t="s">
        <v>30</v>
      </c>
      <c r="G908" s="2" t="s">
        <v>31</v>
      </c>
      <c r="H908" s="2" t="s">
        <v>32</v>
      </c>
      <c r="K908" s="2" t="s">
        <v>8206</v>
      </c>
      <c r="L908" s="3" t="s">
        <v>1276</v>
      </c>
      <c r="M908" s="2" t="s">
        <v>8207</v>
      </c>
      <c r="O908" s="2" t="s">
        <v>8208</v>
      </c>
      <c r="P908" s="2" t="s">
        <v>37</v>
      </c>
      <c r="Q908" s="2" t="s">
        <v>8209</v>
      </c>
      <c r="T908" s="2" t="s">
        <v>40</v>
      </c>
      <c r="X908" s="2" t="n">
        <v>10834</v>
      </c>
      <c r="Y908" s="2" t="s">
        <v>8210</v>
      </c>
      <c r="Z908" s="3" t="s">
        <v>8211</v>
      </c>
    </row>
    <row r="909" customFormat="false" ht="135.8" hidden="false" customHeight="false" outlineLevel="0" collapsed="false">
      <c r="A909" s="0" t="str">
        <f aca="false">CONCATENATE("__import__.res_partner_",C909)</f>
        <v>__import__.res_partner_20000010835</v>
      </c>
      <c r="B909" s="2" t="s">
        <v>8212</v>
      </c>
      <c r="C909" s="3" t="s">
        <v>8213</v>
      </c>
      <c r="D909" s="2" t="s">
        <v>8214</v>
      </c>
      <c r="F909" s="2" t="s">
        <v>30</v>
      </c>
      <c r="G909" s="2" t="s">
        <v>31</v>
      </c>
      <c r="H909" s="2" t="s">
        <v>32</v>
      </c>
      <c r="K909" s="2" t="s">
        <v>8215</v>
      </c>
      <c r="L909" s="3" t="s">
        <v>1047</v>
      </c>
      <c r="M909" s="2" t="s">
        <v>8216</v>
      </c>
      <c r="O909" s="2" t="s">
        <v>1049</v>
      </c>
      <c r="P909" s="2" t="s">
        <v>37</v>
      </c>
      <c r="Q909" s="2" t="s">
        <v>3118</v>
      </c>
      <c r="R909" s="2" t="s">
        <v>8217</v>
      </c>
      <c r="T909" s="2" t="s">
        <v>40</v>
      </c>
      <c r="X909" s="2" t="n">
        <v>10835</v>
      </c>
      <c r="Y909" s="2" t="s">
        <v>8214</v>
      </c>
      <c r="Z909" s="3" t="s">
        <v>8218</v>
      </c>
      <c r="AA909" s="4" t="s">
        <v>8219</v>
      </c>
    </row>
    <row r="910" customFormat="false" ht="13.8" hidden="false" customHeight="false" outlineLevel="0" collapsed="false">
      <c r="A910" s="0" t="str">
        <f aca="false">CONCATENATE("__import__.res_partner_",C910)</f>
        <v>__import__.res_partner_20000010836</v>
      </c>
      <c r="B910" s="2" t="s">
        <v>8220</v>
      </c>
      <c r="C910" s="3" t="s">
        <v>8221</v>
      </c>
      <c r="D910" s="2" t="s">
        <v>8222</v>
      </c>
      <c r="F910" s="2" t="s">
        <v>30</v>
      </c>
      <c r="G910" s="2" t="s">
        <v>31</v>
      </c>
      <c r="H910" s="2" t="s">
        <v>32</v>
      </c>
      <c r="K910" s="2" t="s">
        <v>8223</v>
      </c>
      <c r="L910" s="3" t="s">
        <v>8224</v>
      </c>
      <c r="M910" s="2" t="s">
        <v>8225</v>
      </c>
      <c r="O910" s="2" t="s">
        <v>5874</v>
      </c>
      <c r="P910" s="2" t="s">
        <v>37</v>
      </c>
      <c r="Q910" s="2" t="s">
        <v>8226</v>
      </c>
      <c r="R910" s="2" t="s">
        <v>8227</v>
      </c>
      <c r="T910" s="2" t="s">
        <v>697</v>
      </c>
      <c r="X910" s="2" t="n">
        <v>10836</v>
      </c>
      <c r="Y910" s="2" t="s">
        <v>8222</v>
      </c>
      <c r="Z910" s="3" t="s">
        <v>8228</v>
      </c>
    </row>
    <row r="911" customFormat="false" ht="13.8" hidden="false" customHeight="false" outlineLevel="0" collapsed="false">
      <c r="A911" s="0" t="str">
        <f aca="false">CONCATENATE("__import__.res_partner_",C911)</f>
        <v>__import__.res_partner_20000010837</v>
      </c>
      <c r="B911" s="2" t="s">
        <v>8229</v>
      </c>
      <c r="C911" s="3" t="s">
        <v>8230</v>
      </c>
      <c r="D911" s="2" t="s">
        <v>8231</v>
      </c>
      <c r="F911" s="3" t="s">
        <v>557</v>
      </c>
      <c r="G911" s="2" t="s">
        <v>1664</v>
      </c>
      <c r="H911" s="2" t="s">
        <v>32</v>
      </c>
      <c r="K911" s="2" t="s">
        <v>8232</v>
      </c>
      <c r="L911" s="3" t="s">
        <v>6655</v>
      </c>
      <c r="M911" s="2" t="s">
        <v>8233</v>
      </c>
      <c r="O911" s="2" t="s">
        <v>3833</v>
      </c>
      <c r="P911" s="2" t="s">
        <v>37</v>
      </c>
      <c r="Q911" s="2" t="s">
        <v>8234</v>
      </c>
      <c r="R911" s="2" t="s">
        <v>8235</v>
      </c>
      <c r="T911" s="2" t="s">
        <v>697</v>
      </c>
      <c r="W911" s="2" t="s">
        <v>8236</v>
      </c>
      <c r="X911" s="2" t="n">
        <v>10837</v>
      </c>
      <c r="Y911" s="2" t="s">
        <v>8231</v>
      </c>
      <c r="Z911" s="3" t="s">
        <v>8237</v>
      </c>
    </row>
    <row r="912" customFormat="false" ht="13.8" hidden="false" customHeight="false" outlineLevel="0" collapsed="false">
      <c r="A912" s="0" t="str">
        <f aca="false">CONCATENATE("__import__.res_partner_",C912)</f>
        <v>__import__.res_partner_20000010838</v>
      </c>
      <c r="B912" s="2" t="s">
        <v>8238</v>
      </c>
      <c r="C912" s="3" t="s">
        <v>8239</v>
      </c>
      <c r="D912" s="2" t="s">
        <v>8240</v>
      </c>
      <c r="F912" s="2" t="s">
        <v>30</v>
      </c>
      <c r="G912" s="2" t="s">
        <v>1664</v>
      </c>
      <c r="H912" s="2" t="s">
        <v>32</v>
      </c>
      <c r="K912" s="2" t="s">
        <v>8241</v>
      </c>
      <c r="L912" s="3" t="s">
        <v>3916</v>
      </c>
      <c r="M912" s="2" t="s">
        <v>8242</v>
      </c>
      <c r="O912" s="2" t="s">
        <v>1227</v>
      </c>
      <c r="P912" s="2" t="s">
        <v>37</v>
      </c>
      <c r="Q912" s="2" t="s">
        <v>8243</v>
      </c>
      <c r="R912" s="2" t="s">
        <v>8244</v>
      </c>
      <c r="T912" s="2" t="s">
        <v>697</v>
      </c>
      <c r="X912" s="2" t="n">
        <v>10838</v>
      </c>
      <c r="Y912" s="2" t="s">
        <v>8240</v>
      </c>
      <c r="Z912" s="3" t="s">
        <v>8245</v>
      </c>
    </row>
    <row r="913" customFormat="false" ht="13.8" hidden="false" customHeight="false" outlineLevel="0" collapsed="false">
      <c r="A913" s="0" t="str">
        <f aca="false">CONCATENATE("__import__.res_partner_",C913)</f>
        <v>__import__.res_partner_20000010839</v>
      </c>
      <c r="B913" s="2" t="s">
        <v>8246</v>
      </c>
      <c r="C913" s="3" t="s">
        <v>8247</v>
      </c>
      <c r="D913" s="2" t="s">
        <v>8248</v>
      </c>
      <c r="F913" s="2" t="s">
        <v>30</v>
      </c>
      <c r="G913" s="2" t="s">
        <v>1664</v>
      </c>
      <c r="H913" s="2" t="s">
        <v>32</v>
      </c>
      <c r="K913" s="2" t="s">
        <v>8249</v>
      </c>
      <c r="L913" s="3" t="s">
        <v>3257</v>
      </c>
      <c r="M913" s="2" t="s">
        <v>8250</v>
      </c>
      <c r="O913" s="2" t="s">
        <v>2881</v>
      </c>
      <c r="P913" s="2" t="s">
        <v>37</v>
      </c>
      <c r="T913" s="2" t="s">
        <v>697</v>
      </c>
      <c r="X913" s="2" t="n">
        <v>10839</v>
      </c>
      <c r="Y913" s="2" t="s">
        <v>8248</v>
      </c>
      <c r="Z913" s="3" t="s">
        <v>8251</v>
      </c>
    </row>
    <row r="914" customFormat="false" ht="13.8" hidden="false" customHeight="false" outlineLevel="0" collapsed="false">
      <c r="A914" s="0" t="str">
        <f aca="false">CONCATENATE("__import__.res_partner_",C914)</f>
        <v>__import__.res_partner_20000010840</v>
      </c>
      <c r="B914" s="2" t="s">
        <v>8252</v>
      </c>
      <c r="C914" s="3" t="s">
        <v>8253</v>
      </c>
      <c r="D914" s="2" t="s">
        <v>8254</v>
      </c>
      <c r="F914" s="2" t="s">
        <v>30</v>
      </c>
      <c r="G914" s="2" t="s">
        <v>31</v>
      </c>
      <c r="H914" s="2" t="s">
        <v>32</v>
      </c>
      <c r="K914" s="2" t="s">
        <v>8255</v>
      </c>
      <c r="L914" s="3" t="s">
        <v>6493</v>
      </c>
      <c r="M914" s="2" t="s">
        <v>8256</v>
      </c>
      <c r="O914" s="2" t="s">
        <v>2754</v>
      </c>
      <c r="P914" s="2" t="s">
        <v>37</v>
      </c>
      <c r="R914" s="2" t="s">
        <v>8257</v>
      </c>
      <c r="T914" s="2" t="s">
        <v>76</v>
      </c>
      <c r="X914" s="2" t="n">
        <v>10840</v>
      </c>
      <c r="Y914" s="2" t="s">
        <v>8258</v>
      </c>
      <c r="Z914" s="3" t="s">
        <v>8259</v>
      </c>
    </row>
    <row r="915" customFormat="false" ht="13.8" hidden="false" customHeight="false" outlineLevel="0" collapsed="false">
      <c r="A915" s="0" t="str">
        <f aca="false">CONCATENATE("__import__.res_partner_",C915)</f>
        <v>__import__.res_partner_20000010842</v>
      </c>
      <c r="B915" s="2" t="s">
        <v>8260</v>
      </c>
      <c r="C915" s="3" t="s">
        <v>8261</v>
      </c>
      <c r="D915" s="2" t="s">
        <v>8262</v>
      </c>
      <c r="F915" s="3" t="s">
        <v>557</v>
      </c>
      <c r="G915" s="2" t="s">
        <v>31</v>
      </c>
      <c r="H915" s="2" t="s">
        <v>32</v>
      </c>
      <c r="K915" s="2" t="s">
        <v>8263</v>
      </c>
      <c r="L915" s="3" t="s">
        <v>3789</v>
      </c>
      <c r="M915" s="2" t="s">
        <v>8264</v>
      </c>
      <c r="O915" s="2" t="s">
        <v>8265</v>
      </c>
      <c r="P915" s="2" t="s">
        <v>37</v>
      </c>
      <c r="Q915" s="2" t="s">
        <v>8266</v>
      </c>
      <c r="R915" s="2" t="s">
        <v>8267</v>
      </c>
      <c r="T915" s="2" t="s">
        <v>76</v>
      </c>
      <c r="X915" s="2" t="n">
        <v>10842</v>
      </c>
      <c r="Y915" s="2" t="s">
        <v>8268</v>
      </c>
      <c r="Z915" s="3" t="s">
        <v>8269</v>
      </c>
    </row>
    <row r="916" customFormat="false" ht="13.8" hidden="false" customHeight="false" outlineLevel="0" collapsed="false">
      <c r="A916" s="0" t="str">
        <f aca="false">CONCATENATE("__import__.res_partner_",C916)</f>
        <v>__import__.res_partner_20000010845</v>
      </c>
      <c r="B916" s="2" t="s">
        <v>8270</v>
      </c>
      <c r="C916" s="3" t="s">
        <v>8271</v>
      </c>
      <c r="D916" s="2" t="s">
        <v>8272</v>
      </c>
      <c r="F916" s="2" t="s">
        <v>30</v>
      </c>
      <c r="G916" s="2" t="s">
        <v>31</v>
      </c>
      <c r="H916" s="2" t="s">
        <v>32</v>
      </c>
      <c r="K916" s="2" t="s">
        <v>2555</v>
      </c>
      <c r="L916" s="3" t="s">
        <v>528</v>
      </c>
      <c r="M916" s="2" t="s">
        <v>8273</v>
      </c>
      <c r="O916" s="2" t="s">
        <v>2195</v>
      </c>
      <c r="P916" s="2" t="s">
        <v>37</v>
      </c>
      <c r="Q916" s="2" t="s">
        <v>8274</v>
      </c>
      <c r="R916" s="3" t="s">
        <v>8275</v>
      </c>
      <c r="T916" s="2" t="s">
        <v>76</v>
      </c>
      <c r="X916" s="2" t="n">
        <v>10845</v>
      </c>
      <c r="Y916" s="2" t="s">
        <v>8276</v>
      </c>
      <c r="Z916" s="3" t="s">
        <v>8277</v>
      </c>
    </row>
    <row r="917" customFormat="false" ht="13.8" hidden="false" customHeight="false" outlineLevel="0" collapsed="false">
      <c r="A917" s="0" t="str">
        <f aca="false">CONCATENATE("__import__.res_partner_",C917)</f>
        <v>__import__.res_partner_20000010846</v>
      </c>
      <c r="B917" s="2" t="s">
        <v>8278</v>
      </c>
      <c r="C917" s="3" t="s">
        <v>8279</v>
      </c>
      <c r="D917" s="2" t="s">
        <v>8280</v>
      </c>
      <c r="F917" s="2" t="s">
        <v>30</v>
      </c>
      <c r="G917" s="2" t="s">
        <v>31</v>
      </c>
      <c r="H917" s="2" t="s">
        <v>32</v>
      </c>
      <c r="K917" s="2" t="s">
        <v>8281</v>
      </c>
      <c r="L917" s="3" t="s">
        <v>8282</v>
      </c>
      <c r="M917" s="2" t="s">
        <v>8283</v>
      </c>
      <c r="O917" s="2" t="s">
        <v>8284</v>
      </c>
      <c r="P917" s="2" t="s">
        <v>37</v>
      </c>
      <c r="R917" s="2" t="s">
        <v>8285</v>
      </c>
      <c r="T917" s="2" t="s">
        <v>697</v>
      </c>
      <c r="X917" s="2" t="n">
        <v>10846</v>
      </c>
      <c r="Y917" s="2" t="s">
        <v>8280</v>
      </c>
      <c r="Z917" s="3" t="s">
        <v>8286</v>
      </c>
    </row>
    <row r="918" customFormat="false" ht="13.8" hidden="false" customHeight="false" outlineLevel="0" collapsed="false">
      <c r="A918" s="0" t="str">
        <f aca="false">CONCATENATE("__import__.res_partner_",C918)</f>
        <v>__import__.res_partner_20000010847</v>
      </c>
      <c r="B918" s="2" t="s">
        <v>8287</v>
      </c>
      <c r="C918" s="3" t="s">
        <v>8288</v>
      </c>
      <c r="D918" s="2" t="s">
        <v>8289</v>
      </c>
      <c r="F918" s="2" t="s">
        <v>30</v>
      </c>
      <c r="G918" s="2" t="s">
        <v>1664</v>
      </c>
      <c r="H918" s="2" t="s">
        <v>32</v>
      </c>
      <c r="K918" s="2" t="s">
        <v>8290</v>
      </c>
      <c r="L918" s="3" t="s">
        <v>5890</v>
      </c>
      <c r="M918" s="2" t="s">
        <v>8291</v>
      </c>
      <c r="O918" s="2" t="s">
        <v>3833</v>
      </c>
      <c r="P918" s="2" t="s">
        <v>37</v>
      </c>
      <c r="R918" s="2" t="s">
        <v>8292</v>
      </c>
      <c r="T918" s="2" t="s">
        <v>108</v>
      </c>
      <c r="X918" s="2" t="n">
        <v>10847</v>
      </c>
      <c r="Y918" s="2" t="s">
        <v>8289</v>
      </c>
      <c r="Z918" s="3" t="s">
        <v>8293</v>
      </c>
    </row>
    <row r="919" customFormat="false" ht="13.8" hidden="false" customHeight="false" outlineLevel="0" collapsed="false">
      <c r="A919" s="0" t="str">
        <f aca="false">CONCATENATE("__import__.res_partner_",C919)</f>
        <v>__import__.res_partner_20000010848</v>
      </c>
      <c r="B919" s="2" t="s">
        <v>8294</v>
      </c>
      <c r="C919" s="3" t="s">
        <v>8295</v>
      </c>
      <c r="D919" s="2" t="s">
        <v>8296</v>
      </c>
      <c r="F919" s="2" t="s">
        <v>30</v>
      </c>
      <c r="G919" s="2" t="s">
        <v>31</v>
      </c>
      <c r="H919" s="2" t="s">
        <v>32</v>
      </c>
      <c r="K919" s="2" t="s">
        <v>8297</v>
      </c>
      <c r="L919" s="3" t="s">
        <v>440</v>
      </c>
      <c r="M919" s="2" t="s">
        <v>8298</v>
      </c>
      <c r="O919" s="2" t="s">
        <v>49</v>
      </c>
      <c r="P919" s="2" t="s">
        <v>37</v>
      </c>
      <c r="T919" s="2" t="s">
        <v>5567</v>
      </c>
      <c r="X919" s="2" t="n">
        <v>10848</v>
      </c>
      <c r="Y919" s="2" t="s">
        <v>8299</v>
      </c>
      <c r="Z919" s="3" t="s">
        <v>8300</v>
      </c>
    </row>
    <row r="920" customFormat="false" ht="13.8" hidden="false" customHeight="false" outlineLevel="0" collapsed="false">
      <c r="A920" s="0" t="str">
        <f aca="false">CONCATENATE("__import__.res_partner_",C920)</f>
        <v>__import__.res_partner_20000010849</v>
      </c>
      <c r="B920" s="2" t="s">
        <v>8301</v>
      </c>
      <c r="C920" s="3" t="s">
        <v>8302</v>
      </c>
      <c r="D920" s="2" t="s">
        <v>8303</v>
      </c>
      <c r="F920" s="2" t="s">
        <v>30</v>
      </c>
      <c r="G920" s="2" t="s">
        <v>31</v>
      </c>
      <c r="H920" s="2" t="s">
        <v>32</v>
      </c>
      <c r="K920" s="2" t="s">
        <v>8304</v>
      </c>
      <c r="L920" s="3" t="s">
        <v>7812</v>
      </c>
      <c r="M920" s="2" t="s">
        <v>8305</v>
      </c>
      <c r="O920" s="2" t="s">
        <v>3833</v>
      </c>
      <c r="P920" s="2" t="s">
        <v>37</v>
      </c>
      <c r="T920" s="2" t="s">
        <v>697</v>
      </c>
      <c r="X920" s="2" t="n">
        <v>10849</v>
      </c>
      <c r="Y920" s="2" t="s">
        <v>8303</v>
      </c>
      <c r="Z920" s="3" t="s">
        <v>8306</v>
      </c>
    </row>
    <row r="921" customFormat="false" ht="13.8" hidden="false" customHeight="false" outlineLevel="0" collapsed="false">
      <c r="A921" s="0" t="str">
        <f aca="false">CONCATENATE("__import__.res_partner_",C921)</f>
        <v>__import__.res_partner_20000010851</v>
      </c>
      <c r="B921" s="2" t="s">
        <v>8307</v>
      </c>
      <c r="C921" s="3" t="s">
        <v>8308</v>
      </c>
      <c r="D921" s="2" t="s">
        <v>8309</v>
      </c>
      <c r="F921" s="2" t="s">
        <v>30</v>
      </c>
      <c r="G921" s="2" t="s">
        <v>31</v>
      </c>
      <c r="H921" s="2" t="s">
        <v>32</v>
      </c>
      <c r="K921" s="2" t="s">
        <v>8310</v>
      </c>
      <c r="L921" s="3" t="s">
        <v>316</v>
      </c>
      <c r="M921" s="2" t="s">
        <v>8311</v>
      </c>
      <c r="O921" s="2" t="s">
        <v>36</v>
      </c>
      <c r="P921" s="2" t="s">
        <v>37</v>
      </c>
      <c r="Q921" s="2" t="s">
        <v>232</v>
      </c>
      <c r="R921" s="2" t="s">
        <v>8312</v>
      </c>
      <c r="T921" s="2" t="s">
        <v>76</v>
      </c>
      <c r="X921" s="2" t="n">
        <v>10851</v>
      </c>
      <c r="Y921" s="2" t="s">
        <v>6099</v>
      </c>
      <c r="Z921" s="3" t="s">
        <v>8313</v>
      </c>
    </row>
    <row r="922" customFormat="false" ht="186.75" hidden="false" customHeight="false" outlineLevel="0" collapsed="false">
      <c r="A922" s="0" t="str">
        <f aca="false">CONCATENATE("__import__.res_partner_",C922)</f>
        <v>__import__.res_partner_20000010853</v>
      </c>
      <c r="B922" s="2" t="s">
        <v>8314</v>
      </c>
      <c r="C922" s="3" t="s">
        <v>8315</v>
      </c>
      <c r="D922" s="2" t="s">
        <v>8316</v>
      </c>
      <c r="F922" s="2" t="s">
        <v>30</v>
      </c>
      <c r="G922" s="2" t="s">
        <v>31</v>
      </c>
      <c r="H922" s="2" t="s">
        <v>32</v>
      </c>
      <c r="K922" s="2" t="s">
        <v>8317</v>
      </c>
      <c r="L922" s="3" t="s">
        <v>1538</v>
      </c>
      <c r="M922" s="2" t="s">
        <v>8318</v>
      </c>
      <c r="O922" s="2" t="s">
        <v>1749</v>
      </c>
      <c r="P922" s="2" t="s">
        <v>37</v>
      </c>
      <c r="Q922" s="2" t="s">
        <v>8319</v>
      </c>
      <c r="R922" s="2" t="s">
        <v>8320</v>
      </c>
      <c r="T922" s="2" t="s">
        <v>273</v>
      </c>
      <c r="X922" s="2" t="n">
        <v>10853</v>
      </c>
      <c r="Y922" s="2" t="s">
        <v>678</v>
      </c>
      <c r="Z922" s="3" t="s">
        <v>8321</v>
      </c>
      <c r="AA922" s="4" t="s">
        <v>8322</v>
      </c>
    </row>
    <row r="923" customFormat="false" ht="13.8" hidden="false" customHeight="false" outlineLevel="0" collapsed="false">
      <c r="A923" s="0" t="str">
        <f aca="false">CONCATENATE("__import__.res_partner_",C923)</f>
        <v>__import__.res_partner_20000010854</v>
      </c>
      <c r="B923" s="2" t="s">
        <v>8323</v>
      </c>
      <c r="C923" s="3" t="s">
        <v>8324</v>
      </c>
      <c r="D923" s="2" t="s">
        <v>8325</v>
      </c>
      <c r="F923" s="2" t="s">
        <v>30</v>
      </c>
      <c r="G923" s="2" t="s">
        <v>31</v>
      </c>
      <c r="H923" s="2" t="s">
        <v>32</v>
      </c>
      <c r="K923" s="2" t="s">
        <v>8326</v>
      </c>
      <c r="L923" s="3" t="s">
        <v>2615</v>
      </c>
      <c r="M923" s="2" t="s">
        <v>8327</v>
      </c>
      <c r="O923" s="2" t="s">
        <v>49</v>
      </c>
      <c r="P923" s="2" t="s">
        <v>37</v>
      </c>
      <c r="Q923" s="2" t="s">
        <v>8328</v>
      </c>
      <c r="R923" s="2" t="s">
        <v>8329</v>
      </c>
      <c r="T923" s="2" t="s">
        <v>108</v>
      </c>
      <c r="X923" s="2" t="n">
        <v>10854</v>
      </c>
      <c r="Y923" s="2" t="s">
        <v>8330</v>
      </c>
      <c r="Z923" s="3" t="s">
        <v>8331</v>
      </c>
    </row>
    <row r="924" customFormat="false" ht="13.8" hidden="false" customHeight="false" outlineLevel="0" collapsed="false">
      <c r="A924" s="0" t="str">
        <f aca="false">CONCATENATE("__import__.res_partner_",C924)</f>
        <v>__import__.res_partner_20000010855</v>
      </c>
      <c r="B924" s="2" t="s">
        <v>8332</v>
      </c>
      <c r="C924" s="3" t="s">
        <v>8333</v>
      </c>
      <c r="D924" s="2" t="s">
        <v>8334</v>
      </c>
      <c r="F924" s="2" t="s">
        <v>30</v>
      </c>
      <c r="G924" s="2" t="s">
        <v>31</v>
      </c>
      <c r="H924" s="2" t="s">
        <v>32</v>
      </c>
      <c r="K924" s="2" t="s">
        <v>8335</v>
      </c>
      <c r="L924" s="3" t="s">
        <v>8336</v>
      </c>
      <c r="M924" s="2" t="s">
        <v>8337</v>
      </c>
      <c r="O924" s="2" t="s">
        <v>8338</v>
      </c>
      <c r="P924" s="2" t="s">
        <v>2404</v>
      </c>
      <c r="T924" s="2" t="s">
        <v>76</v>
      </c>
      <c r="X924" s="2" t="n">
        <v>10855</v>
      </c>
      <c r="Y924" s="2" t="s">
        <v>678</v>
      </c>
      <c r="Z924" s="3" t="s">
        <v>8339</v>
      </c>
    </row>
    <row r="925" customFormat="false" ht="27.75" hidden="false" customHeight="false" outlineLevel="0" collapsed="false">
      <c r="A925" s="0" t="str">
        <f aca="false">CONCATENATE("__import__.res_partner_",C925)</f>
        <v>__import__.res_partner_20000010858</v>
      </c>
      <c r="B925" s="2" t="s">
        <v>8340</v>
      </c>
      <c r="C925" s="3" t="s">
        <v>8341</v>
      </c>
      <c r="D925" s="2" t="s">
        <v>8342</v>
      </c>
      <c r="F925" s="2" t="s">
        <v>30</v>
      </c>
      <c r="G925" s="2" t="s">
        <v>31</v>
      </c>
      <c r="H925" s="2" t="s">
        <v>32</v>
      </c>
      <c r="K925" s="2" t="s">
        <v>8343</v>
      </c>
      <c r="L925" s="3" t="s">
        <v>8344</v>
      </c>
      <c r="M925" s="2" t="s">
        <v>8345</v>
      </c>
      <c r="O925" s="2" t="s">
        <v>8346</v>
      </c>
      <c r="P925" s="2" t="s">
        <v>37</v>
      </c>
      <c r="Q925" s="2" t="s">
        <v>8347</v>
      </c>
      <c r="R925" s="3" t="s">
        <v>8348</v>
      </c>
      <c r="T925" s="2" t="s">
        <v>97</v>
      </c>
      <c r="X925" s="2" t="n">
        <v>10858</v>
      </c>
      <c r="Y925" s="2" t="s">
        <v>8349</v>
      </c>
      <c r="Z925" s="3" t="s">
        <v>8350</v>
      </c>
      <c r="AA925" s="4" t="s">
        <v>8351</v>
      </c>
    </row>
    <row r="926" customFormat="false" ht="13.8" hidden="false" customHeight="false" outlineLevel="0" collapsed="false">
      <c r="A926" s="0" t="str">
        <f aca="false">CONCATENATE("__import__.res_partner_",C926)</f>
        <v>__import__.res_partner_20000010859</v>
      </c>
      <c r="B926" s="2" t="s">
        <v>8352</v>
      </c>
      <c r="C926" s="3" t="s">
        <v>8353</v>
      </c>
      <c r="D926" s="2" t="s">
        <v>8354</v>
      </c>
      <c r="F926" s="2" t="s">
        <v>30</v>
      </c>
      <c r="G926" s="2" t="s">
        <v>31</v>
      </c>
      <c r="H926" s="2" t="s">
        <v>32</v>
      </c>
      <c r="K926" s="2" t="s">
        <v>8355</v>
      </c>
      <c r="L926" s="3" t="s">
        <v>8356</v>
      </c>
      <c r="M926" s="2" t="s">
        <v>8357</v>
      </c>
      <c r="O926" s="2" t="s">
        <v>8358</v>
      </c>
      <c r="P926" s="2" t="s">
        <v>37</v>
      </c>
      <c r="T926" s="2" t="s">
        <v>273</v>
      </c>
      <c r="X926" s="2" t="n">
        <v>10859</v>
      </c>
      <c r="Y926" s="2" t="s">
        <v>3067</v>
      </c>
      <c r="Z926" s="3" t="s">
        <v>8359</v>
      </c>
    </row>
    <row r="927" customFormat="false" ht="13.8" hidden="false" customHeight="false" outlineLevel="0" collapsed="false">
      <c r="A927" s="0" t="str">
        <f aca="false">CONCATENATE("__import__.res_partner_",C927)</f>
        <v>__import__.res_partner_20000010860</v>
      </c>
      <c r="B927" s="2" t="s">
        <v>8360</v>
      </c>
      <c r="C927" s="3" t="s">
        <v>8361</v>
      </c>
      <c r="D927" s="2" t="s">
        <v>8362</v>
      </c>
      <c r="F927" s="3" t="s">
        <v>557</v>
      </c>
      <c r="G927" s="2" t="s">
        <v>31</v>
      </c>
      <c r="H927" s="2" t="s">
        <v>32</v>
      </c>
      <c r="K927" s="2" t="s">
        <v>8363</v>
      </c>
      <c r="L927" s="3" t="s">
        <v>8364</v>
      </c>
      <c r="M927" s="2" t="s">
        <v>8365</v>
      </c>
      <c r="O927" s="2" t="s">
        <v>7231</v>
      </c>
      <c r="P927" s="2" t="s">
        <v>37</v>
      </c>
      <c r="Q927" s="2" t="s">
        <v>8366</v>
      </c>
      <c r="R927" s="2" t="s">
        <v>8367</v>
      </c>
      <c r="T927" s="2" t="s">
        <v>697</v>
      </c>
      <c r="W927" s="2" t="s">
        <v>8368</v>
      </c>
      <c r="X927" s="2" t="n">
        <v>10860</v>
      </c>
      <c r="Y927" s="2" t="s">
        <v>8369</v>
      </c>
      <c r="Z927" s="3" t="s">
        <v>8370</v>
      </c>
    </row>
    <row r="928" customFormat="false" ht="13.8" hidden="false" customHeight="false" outlineLevel="0" collapsed="false">
      <c r="A928" s="0" t="str">
        <f aca="false">CONCATENATE("__import__.res_partner_",C928)</f>
        <v>__import__.res_partner_20000010861</v>
      </c>
      <c r="B928" s="2" t="s">
        <v>8371</v>
      </c>
      <c r="C928" s="3" t="s">
        <v>8372</v>
      </c>
      <c r="D928" s="2" t="s">
        <v>8373</v>
      </c>
      <c r="F928" s="2" t="s">
        <v>30</v>
      </c>
      <c r="G928" s="2" t="s">
        <v>1664</v>
      </c>
      <c r="H928" s="2" t="s">
        <v>32</v>
      </c>
      <c r="K928" s="2" t="s">
        <v>8374</v>
      </c>
      <c r="L928" s="3" t="s">
        <v>219</v>
      </c>
      <c r="M928" s="2" t="s">
        <v>8375</v>
      </c>
      <c r="O928" s="2" t="s">
        <v>2073</v>
      </c>
      <c r="P928" s="2" t="s">
        <v>37</v>
      </c>
      <c r="R928" s="3" t="s">
        <v>8376</v>
      </c>
      <c r="T928" s="2" t="s">
        <v>76</v>
      </c>
      <c r="X928" s="2" t="n">
        <v>10861</v>
      </c>
      <c r="Y928" s="2" t="s">
        <v>8373</v>
      </c>
      <c r="Z928" s="3" t="s">
        <v>8377</v>
      </c>
    </row>
    <row r="929" customFormat="false" ht="13.8" hidden="false" customHeight="false" outlineLevel="0" collapsed="false">
      <c r="A929" s="0" t="str">
        <f aca="false">CONCATENATE("__import__.res_partner_",C929)</f>
        <v>__import__.res_partner_20000010862</v>
      </c>
      <c r="B929" s="2" t="s">
        <v>8378</v>
      </c>
      <c r="C929" s="3" t="s">
        <v>8379</v>
      </c>
      <c r="D929" s="2" t="s">
        <v>8380</v>
      </c>
      <c r="F929" s="2" t="s">
        <v>30</v>
      </c>
      <c r="G929" s="2" t="s">
        <v>1664</v>
      </c>
      <c r="H929" s="2" t="s">
        <v>32</v>
      </c>
      <c r="K929" s="2" t="s">
        <v>8381</v>
      </c>
      <c r="L929" s="3" t="s">
        <v>8382</v>
      </c>
      <c r="M929" s="2" t="s">
        <v>8383</v>
      </c>
      <c r="O929" s="2" t="s">
        <v>4562</v>
      </c>
      <c r="P929" s="2" t="s">
        <v>37</v>
      </c>
      <c r="Q929" s="2" t="s">
        <v>8384</v>
      </c>
      <c r="R929" s="2" t="s">
        <v>8385</v>
      </c>
      <c r="T929" s="2" t="s">
        <v>76</v>
      </c>
      <c r="X929" s="2" t="n">
        <v>10862</v>
      </c>
      <c r="Y929" s="2" t="s">
        <v>8386</v>
      </c>
      <c r="Z929" s="3" t="s">
        <v>8387</v>
      </c>
    </row>
    <row r="930" customFormat="false" ht="13.8" hidden="false" customHeight="false" outlineLevel="0" collapsed="false">
      <c r="A930" s="0" t="str">
        <f aca="false">CONCATENATE("__import__.res_partner_",C930)</f>
        <v>__import__.res_partner_20000010863</v>
      </c>
      <c r="B930" s="2" t="s">
        <v>8388</v>
      </c>
      <c r="C930" s="3" t="s">
        <v>8389</v>
      </c>
      <c r="D930" s="2" t="s">
        <v>8390</v>
      </c>
      <c r="F930" s="2" t="s">
        <v>30</v>
      </c>
      <c r="G930" s="2" t="s">
        <v>31</v>
      </c>
      <c r="H930" s="2" t="s">
        <v>32</v>
      </c>
      <c r="K930" s="2" t="s">
        <v>8391</v>
      </c>
      <c r="L930" s="3" t="s">
        <v>1469</v>
      </c>
      <c r="M930" s="2" t="s">
        <v>8392</v>
      </c>
      <c r="O930" s="2" t="s">
        <v>2709</v>
      </c>
      <c r="P930" s="2" t="s">
        <v>37</v>
      </c>
      <c r="R930" s="2" t="s">
        <v>8393</v>
      </c>
      <c r="T930" s="2" t="s">
        <v>76</v>
      </c>
      <c r="X930" s="2" t="n">
        <v>10863</v>
      </c>
      <c r="Y930" s="2" t="s">
        <v>8394</v>
      </c>
      <c r="Z930" s="3" t="s">
        <v>8395</v>
      </c>
    </row>
    <row r="931" customFormat="false" ht="13.8" hidden="false" customHeight="false" outlineLevel="0" collapsed="false">
      <c r="A931" s="0" t="str">
        <f aca="false">CONCATENATE("__import__.res_partner_",C931)</f>
        <v>__import__.res_partner_20000010864</v>
      </c>
      <c r="B931" s="2" t="s">
        <v>8396</v>
      </c>
      <c r="C931" s="3" t="s">
        <v>8397</v>
      </c>
      <c r="D931" s="2" t="s">
        <v>8398</v>
      </c>
      <c r="F931" s="2" t="s">
        <v>30</v>
      </c>
      <c r="G931" s="2" t="s">
        <v>1664</v>
      </c>
      <c r="H931" s="2" t="s">
        <v>32</v>
      </c>
      <c r="K931" s="2" t="s">
        <v>8399</v>
      </c>
      <c r="L931" s="3" t="s">
        <v>3257</v>
      </c>
      <c r="M931" s="2" t="s">
        <v>8400</v>
      </c>
      <c r="O931" s="2" t="s">
        <v>2881</v>
      </c>
      <c r="P931" s="2" t="s">
        <v>37</v>
      </c>
      <c r="R931" s="2" t="s">
        <v>8401</v>
      </c>
      <c r="T931" s="2" t="s">
        <v>697</v>
      </c>
      <c r="X931" s="2" t="n">
        <v>10864</v>
      </c>
      <c r="Y931" s="2" t="s">
        <v>8402</v>
      </c>
      <c r="Z931" s="3" t="s">
        <v>8403</v>
      </c>
    </row>
    <row r="932" customFormat="false" ht="13.8" hidden="false" customHeight="false" outlineLevel="0" collapsed="false">
      <c r="A932" s="0" t="str">
        <f aca="false">CONCATENATE("__import__.res_partner_",C932)</f>
        <v>__import__.res_partner_20000010865</v>
      </c>
      <c r="B932" s="2" t="s">
        <v>8404</v>
      </c>
      <c r="C932" s="3" t="s">
        <v>8405</v>
      </c>
      <c r="D932" s="2" t="s">
        <v>8406</v>
      </c>
      <c r="F932" s="2" t="s">
        <v>30</v>
      </c>
      <c r="G932" s="2" t="s">
        <v>31</v>
      </c>
      <c r="H932" s="2" t="s">
        <v>32</v>
      </c>
      <c r="K932" s="2" t="s">
        <v>8407</v>
      </c>
      <c r="L932" s="3" t="s">
        <v>2771</v>
      </c>
      <c r="M932" s="2" t="s">
        <v>8408</v>
      </c>
      <c r="O932" s="2" t="s">
        <v>2754</v>
      </c>
      <c r="P932" s="2" t="s">
        <v>37</v>
      </c>
      <c r="R932" s="2" t="s">
        <v>8409</v>
      </c>
      <c r="T932" s="2" t="s">
        <v>76</v>
      </c>
      <c r="X932" s="2" t="n">
        <v>10865</v>
      </c>
      <c r="Y932" s="2" t="s">
        <v>8410</v>
      </c>
      <c r="Z932" s="3" t="s">
        <v>8411</v>
      </c>
    </row>
    <row r="933" customFormat="false" ht="13.8" hidden="false" customHeight="false" outlineLevel="0" collapsed="false">
      <c r="A933" s="0" t="str">
        <f aca="false">CONCATENATE("__import__.res_partner_",C933)</f>
        <v>__import__.res_partner_20000010866</v>
      </c>
      <c r="B933" s="2" t="s">
        <v>8412</v>
      </c>
      <c r="C933" s="3" t="s">
        <v>8413</v>
      </c>
      <c r="D933" s="2" t="s">
        <v>8414</v>
      </c>
      <c r="F933" s="2" t="s">
        <v>30</v>
      </c>
      <c r="G933" s="2" t="s">
        <v>31</v>
      </c>
      <c r="H933" s="2" t="s">
        <v>32</v>
      </c>
      <c r="K933" s="2" t="s">
        <v>8415</v>
      </c>
      <c r="L933" s="3" t="s">
        <v>2763</v>
      </c>
      <c r="M933" s="2" t="s">
        <v>8416</v>
      </c>
      <c r="O933" s="2" t="s">
        <v>3689</v>
      </c>
      <c r="P933" s="2" t="s">
        <v>37</v>
      </c>
      <c r="T933" s="2" t="s">
        <v>76</v>
      </c>
      <c r="X933" s="2" t="n">
        <v>10866</v>
      </c>
      <c r="Y933" s="2" t="s">
        <v>8417</v>
      </c>
      <c r="Z933" s="3" t="s">
        <v>8418</v>
      </c>
    </row>
    <row r="934" customFormat="false" ht="13.8" hidden="false" customHeight="false" outlineLevel="0" collapsed="false">
      <c r="A934" s="0" t="str">
        <f aca="false">CONCATENATE("__import__.res_partner_",C934)</f>
        <v>__import__.res_partner_20000010867</v>
      </c>
      <c r="B934" s="2" t="s">
        <v>8419</v>
      </c>
      <c r="C934" s="3" t="s">
        <v>8420</v>
      </c>
      <c r="D934" s="2" t="s">
        <v>8421</v>
      </c>
      <c r="F934" s="2" t="s">
        <v>30</v>
      </c>
      <c r="G934" s="2" t="s">
        <v>1664</v>
      </c>
      <c r="H934" s="2" t="s">
        <v>32</v>
      </c>
      <c r="K934" s="2" t="s">
        <v>8422</v>
      </c>
      <c r="L934" s="3" t="s">
        <v>4822</v>
      </c>
      <c r="M934" s="2" t="s">
        <v>8423</v>
      </c>
      <c r="O934" s="2" t="s">
        <v>3689</v>
      </c>
      <c r="P934" s="2" t="s">
        <v>37</v>
      </c>
      <c r="Q934" s="2" t="s">
        <v>8424</v>
      </c>
      <c r="R934" s="2" t="s">
        <v>8425</v>
      </c>
      <c r="T934" s="2" t="s">
        <v>76</v>
      </c>
      <c r="X934" s="2" t="n">
        <v>10867</v>
      </c>
      <c r="Y934" s="2" t="s">
        <v>8421</v>
      </c>
      <c r="Z934" s="3" t="s">
        <v>8426</v>
      </c>
    </row>
    <row r="935" customFormat="false" ht="13.8" hidden="false" customHeight="false" outlineLevel="0" collapsed="false">
      <c r="A935" s="0" t="str">
        <f aca="false">CONCATENATE("__import__.res_partner_",C935)</f>
        <v>__import__.res_partner_20000010868</v>
      </c>
      <c r="B935" s="2" t="s">
        <v>8427</v>
      </c>
      <c r="C935" s="3" t="s">
        <v>8428</v>
      </c>
      <c r="D935" s="2" t="s">
        <v>8429</v>
      </c>
      <c r="F935" s="2" t="s">
        <v>30</v>
      </c>
      <c r="G935" s="2" t="s">
        <v>1664</v>
      </c>
      <c r="H935" s="2" t="s">
        <v>32</v>
      </c>
      <c r="K935" s="2" t="s">
        <v>8430</v>
      </c>
      <c r="L935" s="3" t="s">
        <v>5690</v>
      </c>
      <c r="M935" s="2" t="s">
        <v>8431</v>
      </c>
      <c r="O935" s="2" t="s">
        <v>4002</v>
      </c>
      <c r="P935" s="2" t="s">
        <v>37</v>
      </c>
      <c r="T935" s="2" t="s">
        <v>76</v>
      </c>
      <c r="X935" s="2" t="n">
        <v>10868</v>
      </c>
      <c r="Y935" s="2" t="s">
        <v>8432</v>
      </c>
      <c r="Z935" s="3" t="s">
        <v>8433</v>
      </c>
    </row>
    <row r="936" customFormat="false" ht="91" hidden="false" customHeight="false" outlineLevel="0" collapsed="false">
      <c r="A936" s="0" t="str">
        <f aca="false">CONCATENATE("__import__.res_partner_",C936)</f>
        <v>__import__.res_partner_20000100277</v>
      </c>
      <c r="B936" s="2" t="s">
        <v>8434</v>
      </c>
      <c r="C936" s="3" t="s">
        <v>8435</v>
      </c>
      <c r="D936" s="2" t="s">
        <v>8436</v>
      </c>
      <c r="F936" s="2" t="s">
        <v>30</v>
      </c>
      <c r="G936" s="2" t="s">
        <v>31</v>
      </c>
      <c r="H936" s="2" t="s">
        <v>32</v>
      </c>
      <c r="K936" s="2" t="s">
        <v>8437</v>
      </c>
      <c r="L936" s="3" t="s">
        <v>8438</v>
      </c>
      <c r="M936" s="2" t="s">
        <v>8439</v>
      </c>
      <c r="O936" s="2" t="s">
        <v>8440</v>
      </c>
      <c r="P936" s="2" t="s">
        <v>563</v>
      </c>
      <c r="Q936" s="2" t="s">
        <v>995</v>
      </c>
      <c r="T936" s="2" t="s">
        <v>108</v>
      </c>
      <c r="W936" s="2" t="s">
        <v>8441</v>
      </c>
      <c r="X936" s="2" t="n">
        <v>100277</v>
      </c>
      <c r="Y936" s="2" t="s">
        <v>678</v>
      </c>
      <c r="Z936" s="3" t="s">
        <v>8442</v>
      </c>
      <c r="AA936" s="4" t="s">
        <v>8443</v>
      </c>
    </row>
  </sheetData>
  <autoFilter ref="A1:AA936"/>
  <hyperlinks>
    <hyperlink ref="AA3" r:id="rId1" display="ENVIAN ALBARAN VALORADO POR CORREO ELECTRONICO  A: maria@doustrazos.com&#10;ENVIAR TODOS LOS PEDIDOS POR FAX."/>
    <hyperlink ref="AA4" r:id="rId2" display="PEDIDOS@CARLOSWENDEL.COM&#10;&#10;WEB RECURSOS:&#10;https://faber-castell.media&#10;Partner&#10;usuario: informatica@doustrazos.com&#10;Contraseña: #Dous2011%&#10;&#10;https://partner.faber-castell.media/login &#10;"/>
    <hyperlink ref="AA49" r:id="rId3" display="PARA PEDIR FACTURAS: MPALAZON@STAEDTLER.ES&#10;TARIFA MENOS 25% - 4% = 28%&#10;App para hacer pedidos:&#10;https://www.swiftserver.co.uk:8181/apex/f?p=114:LOGIN_DESKTOP:::::P101_THEME_CODE:STAEDTLERIBERIA&#10;Nombre de usuario: doc@doustrazos.com&#10;Contraseña: #Dous2011&#10;*Se puede descargar en el movil o tablet también, desde el Google Play o APP Store&#10;OBJETIVO 2026 DE DOUS TRAZOS 23.000€ Y RAPPEL DIRECTO DEL 3% = 690€&#10;"/>
    <hyperlink ref="AA50" r:id="rId4" display="sorayasanchez@dohe.es /  bbustelo@dohe.es&#10;USUARIO: clientes@doustrazos.com&#10;CONTRASEÑA: #Dous2011&#10;"/>
    <hyperlink ref="AA70" r:id="rId5" display="sellos@marcajeygrabado.com&#10;29/04/24: Precio para las gomas: el mismo que para los sellos con montura madera - 1€&#10;"/>
    <hyperlink ref="AA82" r:id="rId6" display="Drive con material audivisual:&#10;https://drive.google.com/drive/u/0/folders/1Lt9F0ljvRLpa8EqLwo3dqXfr3BbJEDp6"/>
    <hyperlink ref="AA126" r:id="rId7" display="r.regueira@liderpapel.com&#10;24696&#10;Dous.2011&#10;&#10;RAPPEL - 002CA/CSP (1K)&#10;BONF. PROD.LIDERPAPEL - 0022&#10;"/>
    <hyperlink ref="AA135" r:id="rId8" display="USUARIO: CARLIN@DOUSTRAZOS.COM&#10;CONTRASEÑA: B36554327&#10;&#10;Plazo entrega aprox 48h&#10;"/>
    <hyperlink ref="AA140" r:id="rId9" display="CESAR.ANTUNES@HAMELINBRANDS.COM&#10;INCIDENCIAS A: MARGARITA.BOX@HAMELINBRANDS.COM&#10;&#10;tomas.fernandez@hamelinbrands.com&#10;&#10;jose-antonio.magarinos@hamelinbrands.com&#10;"/>
    <hyperlink ref="AA145" r:id="rId10" display="MARIA@DOUSTRAZOS.COM&#10;PYC2016"/>
    <hyperlink ref="AA222" r:id="rId11" display="Tiene que entrar sin cargo 10 unidades de la referencia 453300 - nuestra ref 90303355 para compensar alb. 1F-27822&#10; En tu pedido XR-796 c1 de 17 agosto. La ref F233900. Va sin coste para compensar tema portes 10 euros.&#10;&#10;Carpeta dropbox: https://www.dropbox.com/sh/qcgaen34my08npe/AABgN3_IBtvfoHDoPiNBCoGna?dl=0"/>
    <hyperlink ref="AA247" r:id="rId12" display="https://olo3.apli.com/login&#10;&#10;102933&#10;dous2011&#10;"/>
    <hyperlink ref="AA281" r:id="rId13" display="usuario: info@doustrazos.com&#10;chave: Dous2011"/>
    <hyperlink ref="AA294" r:id="rId14" display="PEDIDOS A: PEDIDOS@ARCHIVO2000.ES&#10;https://www.archivo2000.es/&#10;Usuario: doustrazos&#10;Contraseña: carlin&#10;"/>
    <hyperlink ref="AA300" r:id="rId15" display="pedidos@carchidea.com&#10;DESCUENTO EN FACTURA 35%"/>
    <hyperlink ref="AA313" r:id="rId16" display="USUARIO: siex@siex.net&#10;CHAVE: #Dous2011"/>
    <hyperlink ref="AA404" r:id="rId17" display="DESCARGAR FACTURAS:&#10;https://tottoemea.my.site.com/s/"/>
    <hyperlink ref="AA405" r:id="rId18" display="incidencias.cga@anaya.es / pedidos.cga@anaya.es&#10;ALBERTO COUSELO: acouselo@cga.es - 650 648 931&#10;Nº CLIENTE: 7736322914&#10;"/>
    <hyperlink ref="AA408" r:id="rId19" display="https://portalclientes.grupo-sm.com&#10;usuario: libros@doustrazos.com&#10;chave: #Dous2011&#10;&#10;CLIENTE 206097&#10;FRANCISCO AMEIJEIRAS 600 906 690&#10;francisco.ameijeiras@grupo-sm.com&#10;"/>
    <hyperlink ref="AA421" r:id="rId20" display="jovical@jovical.com&#10;GRUPO INCLASS&#10;EMILIO PALACIOS&#10;"/>
    <hyperlink ref="AA479" r:id="rId21" display="https://portalclientes.mundo-r.com/&#10;Usuario: B36554327&#10;Contraseña: Dous.2011&#10;"/>
    <hyperlink ref="AA566" r:id="rId22" display="www.makito.es&#10;usuario:info@doustrazos.com&#10;contraseña: #Dous2011&#10;"/>
    <hyperlink ref="AA567" r:id="rId23" display="BUSCAR PRECIOS EN PAGINA WEB:https://www.torrasdistribucion.com/&#10;usuario: carlin@doustrazos.com&#10;chave: Dous2011.&#10;"/>
    <hyperlink ref="AA597" r:id="rId24" display="jmpereira@dous...&#10;Dous2011"/>
    <hyperlink ref="AA632" r:id="rId25" display="https://www.repsol.es/autonomos-y-empresas/area-privada/&#10;contabilidade&#10;#Dous.2011&#10;&#10;https://misolred.repsol.com/&#10;"/>
    <hyperlink ref="AA636" r:id="rId26" display="carlin@doustrazos.com&#10;Urehydg3"/>
    <hyperlink ref="AA644" r:id="rId27" display="usuario: info@doustrazos.com&#10;chave: #Dous2011"/>
    <hyperlink ref="AA675" r:id="rId28" display="jmpereira@carlin.cash&#10;00002881"/>
    <hyperlink ref="AA715" r:id="rId29" display="https://genebrandoweb.nereid.es/&#10; USUARIO: Caralrojo&#10;CONTRASEÑA: Caralrojo$23102025&#10;&#10;USUARIO: Doustrazos&#10;CONTRASEÑA: Doustrazos$28022022&#10;"/>
    <hyperlink ref="AA818" r:id="rId30" display="redes@trazos.com&#10;#dous2011"/>
    <hyperlink ref="AA822" r:id="rId31" display="contabilidade@doustrazos.com&#10;Dous2011"/>
    <hyperlink ref="AA896" r:id="rId32" display="contabilidade@doustrazos.com&#10;Dous.2011"/>
    <hyperlink ref="AA901" r:id="rId33" display="usuario: info@doustrazos.com&#10;Contraseña: Dous2011"/>
    <hyperlink ref="AA922" r:id="rId34" display="Usuario: info@doustrazos.com&#10;Chave: Dous2011.  &#10;(a chave é co punto incluído)&#10;&#10;CONDICIÓNS:&#10;- Descuento de 13 % en todas las referencias no marcadas como Precio Neto ( fondo gris= Precio Neto )&#10;- Pedido mínimo de 150 euros netos más impuestos a lo que hay que sumar 8 euros de portes.&#10;- Pedidos a partir de 300 euros netos más impuestos, los portes son gratis.&#10;&#10; &#10;&#10;    Puedes pedir unidades sueltas de cada referencia de vuestra elección, no hay necesidad de atenerse a caja estándar.&#10;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30.67"/>
    <col collapsed="false" customWidth="true" hidden="false" outlineLevel="0" max="21" min="2" style="2" width="30.67"/>
  </cols>
  <sheetData>
    <row r="1" customFormat="false" ht="14.2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8444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8445</v>
      </c>
      <c r="S1" s="1" t="s">
        <v>8446</v>
      </c>
      <c r="T1" s="1" t="s">
        <v>8447</v>
      </c>
      <c r="U1" s="1" t="s">
        <v>8448</v>
      </c>
    </row>
    <row r="2" customFormat="false" ht="28.5" hidden="false" customHeight="false" outlineLevel="0" collapsed="false">
      <c r="A2" s="4" t="s">
        <v>8449</v>
      </c>
      <c r="B2" s="4" t="s">
        <v>8450</v>
      </c>
      <c r="C2" s="4"/>
      <c r="D2" s="7" t="b">
        <f aca="false">TRUE()</f>
        <v>1</v>
      </c>
      <c r="E2" s="4" t="s">
        <v>8451</v>
      </c>
      <c r="F2" s="4"/>
      <c r="G2" s="4" t="s">
        <v>8452</v>
      </c>
      <c r="H2" s="4"/>
      <c r="I2" s="4" t="s">
        <v>8453</v>
      </c>
      <c r="J2" s="4" t="s">
        <v>8454</v>
      </c>
      <c r="K2" s="4" t="s">
        <v>8455</v>
      </c>
      <c r="L2" s="4" t="s">
        <v>8456</v>
      </c>
      <c r="M2" s="4" t="s">
        <v>1058</v>
      </c>
      <c r="N2" s="4" t="s">
        <v>8457</v>
      </c>
      <c r="O2" s="4"/>
      <c r="P2" s="4"/>
      <c r="Q2" s="4"/>
      <c r="R2" s="4"/>
      <c r="S2" s="4"/>
      <c r="T2" s="4"/>
      <c r="U2" s="4"/>
    </row>
    <row r="3" customFormat="false" ht="28.5" hidden="false" customHeight="false" outlineLevel="0" collapsed="false">
      <c r="A3" s="4" t="s">
        <v>8458</v>
      </c>
      <c r="B3" s="4" t="s">
        <v>8459</v>
      </c>
      <c r="C3" s="4" t="s">
        <v>8450</v>
      </c>
      <c r="D3" s="7" t="b">
        <f aca="false">FALSE()</f>
        <v>0</v>
      </c>
      <c r="E3" s="4" t="s">
        <v>8460</v>
      </c>
      <c r="F3" s="4"/>
      <c r="G3" s="4" t="s">
        <v>8452</v>
      </c>
      <c r="H3" s="4" t="s">
        <v>8461</v>
      </c>
      <c r="I3" s="4" t="s">
        <v>8462</v>
      </c>
      <c r="J3" s="4"/>
      <c r="K3" s="4"/>
      <c r="L3" s="4"/>
      <c r="M3" s="4"/>
      <c r="N3" s="4"/>
      <c r="O3" s="8" t="s">
        <v>8463</v>
      </c>
      <c r="P3" s="4"/>
      <c r="Q3" s="4"/>
      <c r="R3" s="4"/>
      <c r="S3" s="4"/>
      <c r="T3" s="4"/>
      <c r="U3" s="4"/>
    </row>
    <row r="4" customFormat="false" ht="28.5" hidden="false" customHeight="false" outlineLevel="0" collapsed="false">
      <c r="A4" s="4" t="s">
        <v>8464</v>
      </c>
      <c r="B4" s="4" t="s">
        <v>8465</v>
      </c>
      <c r="C4" s="4" t="s">
        <v>8450</v>
      </c>
      <c r="D4" s="7" t="b">
        <f aca="false">FALSE()</f>
        <v>0</v>
      </c>
      <c r="E4" s="4" t="s">
        <v>8460</v>
      </c>
      <c r="F4" s="4"/>
      <c r="G4" s="4" t="s">
        <v>8466</v>
      </c>
      <c r="H4" s="4"/>
      <c r="I4" s="4"/>
      <c r="J4" s="4" t="s">
        <v>8467</v>
      </c>
      <c r="K4" s="4" t="s">
        <v>8468</v>
      </c>
      <c r="L4" s="4"/>
      <c r="M4" s="4" t="s">
        <v>1058</v>
      </c>
      <c r="N4" s="4" t="s">
        <v>8457</v>
      </c>
      <c r="O4" s="4"/>
      <c r="P4" s="4"/>
      <c r="Q4" s="4"/>
      <c r="R4" s="4"/>
      <c r="S4" s="4"/>
      <c r="T4" s="4"/>
      <c r="U4" s="4"/>
    </row>
    <row r="5" customFormat="false" ht="28.5" hidden="false" customHeight="false" outlineLevel="0" collapsed="false">
      <c r="A5" s="4" t="s">
        <v>8469</v>
      </c>
      <c r="B5" s="4" t="s">
        <v>8470</v>
      </c>
      <c r="C5" s="4"/>
      <c r="D5" s="7" t="b">
        <f aca="false">TRUE()</f>
        <v>1</v>
      </c>
      <c r="E5" s="4" t="s">
        <v>8451</v>
      </c>
      <c r="F5" s="4"/>
      <c r="G5" s="4" t="s">
        <v>8452</v>
      </c>
      <c r="H5" s="4"/>
      <c r="I5" s="4" t="s">
        <v>8471</v>
      </c>
      <c r="J5" s="4" t="s">
        <v>7289</v>
      </c>
      <c r="K5" s="4" t="s">
        <v>8472</v>
      </c>
      <c r="L5" s="4"/>
      <c r="M5" s="4" t="s">
        <v>8473</v>
      </c>
      <c r="N5" s="4" t="s">
        <v>8457</v>
      </c>
      <c r="O5" s="8" t="s">
        <v>8474</v>
      </c>
      <c r="P5" s="4"/>
      <c r="Q5" s="4"/>
      <c r="R5" s="4"/>
      <c r="S5" s="4"/>
      <c r="T5" s="4"/>
      <c r="U5" s="4"/>
    </row>
    <row r="6" customFormat="false" ht="28.5" hidden="false" customHeight="false" outlineLevel="0" collapsed="false">
      <c r="A6" s="4" t="s">
        <v>8475</v>
      </c>
      <c r="B6" s="4" t="s">
        <v>8476</v>
      </c>
      <c r="C6" s="4" t="s">
        <v>8470</v>
      </c>
      <c r="D6" s="7" t="b">
        <f aca="false">FALSE()</f>
        <v>0</v>
      </c>
      <c r="E6" s="4" t="s">
        <v>8460</v>
      </c>
      <c r="F6" s="4"/>
      <c r="G6" s="4" t="s">
        <v>8452</v>
      </c>
      <c r="H6" s="4" t="s">
        <v>8477</v>
      </c>
      <c r="I6" s="4"/>
      <c r="J6" s="4" t="s">
        <v>8478</v>
      </c>
      <c r="K6" s="4" t="s">
        <v>8479</v>
      </c>
      <c r="L6" s="4"/>
      <c r="M6" s="4" t="s">
        <v>1058</v>
      </c>
      <c r="N6" s="4" t="s">
        <v>8457</v>
      </c>
      <c r="O6" s="8" t="s">
        <v>8474</v>
      </c>
      <c r="P6" s="4"/>
      <c r="Q6" s="4"/>
      <c r="R6" s="4"/>
      <c r="S6" s="4"/>
      <c r="T6" s="4"/>
      <c r="U6" s="4"/>
    </row>
    <row r="7" customFormat="false" ht="28.5" hidden="false" customHeight="false" outlineLevel="0" collapsed="false">
      <c r="A7" s="4" t="s">
        <v>8480</v>
      </c>
      <c r="B7" s="4" t="s">
        <v>8481</v>
      </c>
      <c r="C7" s="4" t="s">
        <v>8470</v>
      </c>
      <c r="D7" s="7" t="b">
        <f aca="false">FALSE()</f>
        <v>0</v>
      </c>
      <c r="E7" s="4" t="s">
        <v>8460</v>
      </c>
      <c r="F7" s="4"/>
      <c r="G7" s="4" t="s">
        <v>8452</v>
      </c>
      <c r="H7" s="4" t="s">
        <v>8461</v>
      </c>
      <c r="I7" s="4" t="s">
        <v>8482</v>
      </c>
      <c r="J7" s="4"/>
      <c r="K7" s="4"/>
      <c r="L7" s="4"/>
      <c r="M7" s="4"/>
      <c r="N7" s="4" t="s">
        <v>8457</v>
      </c>
      <c r="O7" s="8" t="s">
        <v>8483</v>
      </c>
      <c r="P7" s="4"/>
      <c r="Q7" s="4"/>
      <c r="R7" s="4"/>
      <c r="S7" s="4"/>
      <c r="T7" s="4"/>
      <c r="U7" s="4"/>
    </row>
  </sheetData>
  <hyperlinks>
    <hyperlink ref="O3" r:id="rId1" display="info@empresa1.com"/>
    <hyperlink ref="O5" r:id="rId2" display="info@empresa2.com"/>
    <hyperlink ref="O6" r:id="rId3" display="info@empresa2.com"/>
    <hyperlink ref="O7" r:id="rId4" display="gerencia@empresa2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2026-02-02T12:09:12Z</dcterms:created>
  <dc:creator/>
  <dc:description/>
  <dc:language>gl-ES</dc:language>
  <cp:lastModifiedBy/>
  <dcterms:modified xsi:type="dcterms:W3CDTF">2026-03-05T08:36:10Z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